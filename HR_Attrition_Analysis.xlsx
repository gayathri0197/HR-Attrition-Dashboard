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27d0805f50440a/Desktop/DATA ANALYST/practice and Linkedin projects/Project 4/"/>
    </mc:Choice>
  </mc:AlternateContent>
  <xr:revisionPtr revIDLastSave="0" documentId="8_{6E7719CC-D9D8-4608-98D4-24FAC6929890}" xr6:coauthVersionLast="47" xr6:coauthVersionMax="47" xr10:uidLastSave="{00000000-0000-0000-0000-000000000000}"/>
  <bookViews>
    <workbookView xWindow="-110" yWindow="-110" windowWidth="19420" windowHeight="10300" xr2:uid="{E16FF121-FC53-4206-9214-D38DE7EB3A0F}"/>
  </bookViews>
  <sheets>
    <sheet name="HRdata_attrition" sheetId="1" r:id="rId1"/>
    <sheet name="summary" sheetId="2" r:id="rId2"/>
    <sheet name="Pivotdepartment" sheetId="3" r:id="rId3"/>
    <sheet name="pivotjobrole" sheetId="4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6" i="2"/>
  <c r="B5" i="2"/>
  <c r="B10" i="2"/>
  <c r="B14" i="2"/>
  <c r="B13" i="2"/>
  <c r="B12" i="2"/>
  <c r="B11" i="2"/>
  <c r="AG3" i="1" a="1"/>
  <c r="AG3" i="1" s="1"/>
  <c r="AG4" i="1" a="1"/>
  <c r="AG4" i="1" s="1"/>
  <c r="AG5" i="1" a="1"/>
  <c r="AG5" i="1" s="1"/>
  <c r="AG6" i="1" a="1"/>
  <c r="AG6" i="1" s="1"/>
  <c r="AG7" i="1" a="1"/>
  <c r="AG7" i="1" s="1"/>
  <c r="AG8" i="1" a="1"/>
  <c r="AG8" i="1" s="1"/>
  <c r="AG9" i="1" a="1"/>
  <c r="AG9" i="1" s="1"/>
  <c r="AG10" i="1" a="1"/>
  <c r="AG10" i="1" s="1"/>
  <c r="AG11" i="1" a="1"/>
  <c r="AG11" i="1" s="1"/>
  <c r="AG12" i="1" a="1"/>
  <c r="AG12" i="1" s="1"/>
  <c r="AG13" i="1" a="1"/>
  <c r="AG13" i="1" s="1"/>
  <c r="AG14" i="1" a="1"/>
  <c r="AG14" i="1" s="1"/>
  <c r="AG15" i="1" a="1"/>
  <c r="AG15" i="1" s="1"/>
  <c r="AG16" i="1" a="1"/>
  <c r="AG16" i="1" s="1"/>
  <c r="AG17" i="1" a="1"/>
  <c r="AG17" i="1" s="1"/>
  <c r="AG18" i="1" a="1"/>
  <c r="AG18" i="1" s="1"/>
  <c r="AG19" i="1" a="1"/>
  <c r="AG19" i="1" s="1"/>
  <c r="AG20" i="1" a="1"/>
  <c r="AG20" i="1" s="1"/>
  <c r="AG21" i="1" a="1"/>
  <c r="AG21" i="1" s="1"/>
  <c r="AG22" i="1" a="1"/>
  <c r="AG22" i="1" s="1"/>
  <c r="AG23" i="1" a="1"/>
  <c r="AG23" i="1" s="1"/>
  <c r="AG24" i="1" a="1"/>
  <c r="AG24" i="1" s="1"/>
  <c r="AG25" i="1" a="1"/>
  <c r="AG25" i="1" s="1"/>
  <c r="AG26" i="1" a="1"/>
  <c r="AG26" i="1" s="1"/>
  <c r="AG27" i="1" a="1"/>
  <c r="AG27" i="1" s="1"/>
  <c r="AG28" i="1" a="1"/>
  <c r="AG28" i="1" s="1"/>
  <c r="AG29" i="1" a="1"/>
  <c r="AG29" i="1" s="1"/>
  <c r="AG30" i="1" a="1"/>
  <c r="AG30" i="1" s="1"/>
  <c r="AG31" i="1" a="1"/>
  <c r="AG31" i="1" s="1"/>
  <c r="AG32" i="1" a="1"/>
  <c r="AG32" i="1" s="1"/>
  <c r="AG33" i="1" a="1"/>
  <c r="AG33" i="1" s="1"/>
  <c r="AG34" i="1" a="1"/>
  <c r="AG34" i="1" s="1"/>
  <c r="AG35" i="1" a="1"/>
  <c r="AG35" i="1" s="1"/>
  <c r="AG36" i="1" a="1"/>
  <c r="AG36" i="1" s="1"/>
  <c r="AG37" i="1" a="1"/>
  <c r="AG37" i="1" s="1"/>
  <c r="AG38" i="1" a="1"/>
  <c r="AG38" i="1" s="1"/>
  <c r="AG39" i="1" a="1"/>
  <c r="AG39" i="1" s="1"/>
  <c r="AG40" i="1" a="1"/>
  <c r="AG40" i="1" s="1"/>
  <c r="AG41" i="1" a="1"/>
  <c r="AG41" i="1" s="1"/>
  <c r="AG42" i="1" a="1"/>
  <c r="AG42" i="1" s="1"/>
  <c r="AG43" i="1" a="1"/>
  <c r="AG43" i="1" s="1"/>
  <c r="AG44" i="1" a="1"/>
  <c r="AG44" i="1" s="1"/>
  <c r="AG45" i="1" a="1"/>
  <c r="AG45" i="1" s="1"/>
  <c r="AG46" i="1" a="1"/>
  <c r="AG46" i="1" s="1"/>
  <c r="AG47" i="1" a="1"/>
  <c r="AG47" i="1" s="1"/>
  <c r="AG48" i="1" a="1"/>
  <c r="AG48" i="1" s="1"/>
  <c r="AG49" i="1" a="1"/>
  <c r="AG49" i="1" s="1"/>
  <c r="AG50" i="1" a="1"/>
  <c r="AG50" i="1" s="1"/>
  <c r="AG51" i="1" a="1"/>
  <c r="AG51" i="1" s="1"/>
  <c r="AG52" i="1" a="1"/>
  <c r="AG52" i="1" s="1"/>
  <c r="AG53" i="1" a="1"/>
  <c r="AG53" i="1" s="1"/>
  <c r="AG54" i="1" a="1"/>
  <c r="AG54" i="1" s="1"/>
  <c r="AG55" i="1" a="1"/>
  <c r="AG55" i="1" s="1"/>
  <c r="AG56" i="1" a="1"/>
  <c r="AG56" i="1" s="1"/>
  <c r="AG57" i="1" a="1"/>
  <c r="AG57" i="1" s="1"/>
  <c r="AG58" i="1" a="1"/>
  <c r="AG58" i="1" s="1"/>
  <c r="AG59" i="1" a="1"/>
  <c r="AG59" i="1" s="1"/>
  <c r="AG60" i="1" a="1"/>
  <c r="AG60" i="1" s="1"/>
  <c r="AG61" i="1" a="1"/>
  <c r="AG61" i="1" s="1"/>
  <c r="AG62" i="1" a="1"/>
  <c r="AG62" i="1" s="1"/>
  <c r="AG63" i="1" a="1"/>
  <c r="AG63" i="1" s="1"/>
  <c r="AG64" i="1" a="1"/>
  <c r="AG64" i="1" s="1"/>
  <c r="AG65" i="1" a="1"/>
  <c r="AG65" i="1" s="1"/>
  <c r="AG66" i="1" a="1"/>
  <c r="AG66" i="1" s="1"/>
  <c r="AG67" i="1" a="1"/>
  <c r="AG67" i="1" s="1"/>
  <c r="AG68" i="1" a="1"/>
  <c r="AG68" i="1" s="1"/>
  <c r="AG69" i="1" a="1"/>
  <c r="AG69" i="1" s="1"/>
  <c r="AG70" i="1" a="1"/>
  <c r="AG70" i="1" s="1"/>
  <c r="AG71" i="1" a="1"/>
  <c r="AG71" i="1" s="1"/>
  <c r="AG72" i="1" a="1"/>
  <c r="AG72" i="1" s="1"/>
  <c r="AG73" i="1" a="1"/>
  <c r="AG73" i="1" s="1"/>
  <c r="AG74" i="1" a="1"/>
  <c r="AG74" i="1" s="1"/>
  <c r="AG75" i="1" a="1"/>
  <c r="AG75" i="1" s="1"/>
  <c r="AG76" i="1" a="1"/>
  <c r="AG76" i="1" s="1"/>
  <c r="AG77" i="1" a="1"/>
  <c r="AG77" i="1" s="1"/>
  <c r="AG78" i="1" a="1"/>
  <c r="AG78" i="1" s="1"/>
  <c r="AG79" i="1" a="1"/>
  <c r="AG79" i="1" s="1"/>
  <c r="AG80" i="1" a="1"/>
  <c r="AG80" i="1" s="1"/>
  <c r="AG81" i="1" a="1"/>
  <c r="AG81" i="1" s="1"/>
  <c r="AG82" i="1" a="1"/>
  <c r="AG82" i="1" s="1"/>
  <c r="AG83" i="1" a="1"/>
  <c r="AG83" i="1" s="1"/>
  <c r="AG84" i="1" a="1"/>
  <c r="AG84" i="1" s="1"/>
  <c r="AG85" i="1" a="1"/>
  <c r="AG85" i="1" s="1"/>
  <c r="AG86" i="1" a="1"/>
  <c r="AG86" i="1" s="1"/>
  <c r="AG87" i="1" a="1"/>
  <c r="AG87" i="1" s="1"/>
  <c r="AG88" i="1" a="1"/>
  <c r="AG88" i="1" s="1"/>
  <c r="AG89" i="1" a="1"/>
  <c r="AG89" i="1" s="1"/>
  <c r="AG90" i="1" a="1"/>
  <c r="AG90" i="1" s="1"/>
  <c r="AG91" i="1" a="1"/>
  <c r="AG91" i="1" s="1"/>
  <c r="AG92" i="1" a="1"/>
  <c r="AG92" i="1" s="1"/>
  <c r="AG93" i="1" a="1"/>
  <c r="AG93" i="1" s="1"/>
  <c r="AG94" i="1" a="1"/>
  <c r="AG94" i="1" s="1"/>
  <c r="AG95" i="1" a="1"/>
  <c r="AG95" i="1" s="1"/>
  <c r="AG96" i="1" a="1"/>
  <c r="AG96" i="1" s="1"/>
  <c r="AG97" i="1" a="1"/>
  <c r="AG97" i="1" s="1"/>
  <c r="AG98" i="1" a="1"/>
  <c r="AG98" i="1" s="1"/>
  <c r="AG99" i="1" a="1"/>
  <c r="AG99" i="1" s="1"/>
  <c r="AG100" i="1" a="1"/>
  <c r="AG100" i="1" s="1"/>
  <c r="AG101" i="1" a="1"/>
  <c r="AG101" i="1" s="1"/>
  <c r="AG102" i="1" a="1"/>
  <c r="AG102" i="1" s="1"/>
  <c r="AG103" i="1" a="1"/>
  <c r="AG103" i="1" s="1"/>
  <c r="AG104" i="1" a="1"/>
  <c r="AG104" i="1" s="1"/>
  <c r="AG105" i="1" a="1"/>
  <c r="AG105" i="1" s="1"/>
  <c r="AG106" i="1" a="1"/>
  <c r="AG106" i="1" s="1"/>
  <c r="AG107" i="1" a="1"/>
  <c r="AG107" i="1" s="1"/>
  <c r="AG108" i="1" a="1"/>
  <c r="AG108" i="1" s="1"/>
  <c r="AG109" i="1" a="1"/>
  <c r="AG109" i="1" s="1"/>
  <c r="AG110" i="1" a="1"/>
  <c r="AG110" i="1" s="1"/>
  <c r="AG111" i="1" a="1"/>
  <c r="AG111" i="1" s="1"/>
  <c r="AG112" i="1" a="1"/>
  <c r="AG112" i="1" s="1"/>
  <c r="AG113" i="1" a="1"/>
  <c r="AG113" i="1" s="1"/>
  <c r="AG114" i="1" a="1"/>
  <c r="AG114" i="1" s="1"/>
  <c r="AG115" i="1" a="1"/>
  <c r="AG115" i="1" s="1"/>
  <c r="AG116" i="1" a="1"/>
  <c r="AG116" i="1" s="1"/>
  <c r="AG117" i="1" a="1"/>
  <c r="AG117" i="1" s="1"/>
  <c r="AG118" i="1" a="1"/>
  <c r="AG118" i="1" s="1"/>
  <c r="AG119" i="1" a="1"/>
  <c r="AG119" i="1" s="1"/>
  <c r="AG120" i="1" a="1"/>
  <c r="AG120" i="1" s="1"/>
  <c r="AG121" i="1" a="1"/>
  <c r="AG121" i="1" s="1"/>
  <c r="AG122" i="1" a="1"/>
  <c r="AG122" i="1" s="1"/>
  <c r="AG123" i="1" a="1"/>
  <c r="AG123" i="1" s="1"/>
  <c r="AG124" i="1" a="1"/>
  <c r="AG124" i="1" s="1"/>
  <c r="AG125" i="1" a="1"/>
  <c r="AG125" i="1" s="1"/>
  <c r="AG126" i="1" a="1"/>
  <c r="AG126" i="1" s="1"/>
  <c r="AG127" i="1" a="1"/>
  <c r="AG127" i="1" s="1"/>
  <c r="AG128" i="1" a="1"/>
  <c r="AG128" i="1" s="1"/>
  <c r="AG129" i="1" a="1"/>
  <c r="AG129" i="1" s="1"/>
  <c r="AG130" i="1" a="1"/>
  <c r="AG130" i="1" s="1"/>
  <c r="AG131" i="1" a="1"/>
  <c r="AG131" i="1" s="1"/>
  <c r="AG132" i="1" a="1"/>
  <c r="AG132" i="1" s="1"/>
  <c r="AG133" i="1" a="1"/>
  <c r="AG133" i="1" s="1"/>
  <c r="AG134" i="1" a="1"/>
  <c r="AG134" i="1" s="1"/>
  <c r="AG135" i="1" a="1"/>
  <c r="AG135" i="1" s="1"/>
  <c r="AG136" i="1" a="1"/>
  <c r="AG136" i="1" s="1"/>
  <c r="AG137" i="1" a="1"/>
  <c r="AG137" i="1" s="1"/>
  <c r="AG138" i="1" a="1"/>
  <c r="AG138" i="1" s="1"/>
  <c r="AG139" i="1" a="1"/>
  <c r="AG139" i="1" s="1"/>
  <c r="AG140" i="1" a="1"/>
  <c r="AG140" i="1" s="1"/>
  <c r="AG141" i="1" a="1"/>
  <c r="AG141" i="1" s="1"/>
  <c r="AG142" i="1" a="1"/>
  <c r="AG142" i="1" s="1"/>
  <c r="AG143" i="1" a="1"/>
  <c r="AG143" i="1" s="1"/>
  <c r="AG144" i="1" a="1"/>
  <c r="AG144" i="1" s="1"/>
  <c r="AG145" i="1" a="1"/>
  <c r="AG145" i="1" s="1"/>
  <c r="AG146" i="1" a="1"/>
  <c r="AG146" i="1" s="1"/>
  <c r="AG147" i="1" a="1"/>
  <c r="AG147" i="1" s="1"/>
  <c r="AG148" i="1" a="1"/>
  <c r="AG148" i="1" s="1"/>
  <c r="AG149" i="1" a="1"/>
  <c r="AG149" i="1" s="1"/>
  <c r="AG150" i="1" a="1"/>
  <c r="AG150" i="1" s="1"/>
  <c r="AG151" i="1" a="1"/>
  <c r="AG151" i="1" s="1"/>
  <c r="AG152" i="1" a="1"/>
  <c r="AG152" i="1" s="1"/>
  <c r="AG153" i="1" a="1"/>
  <c r="AG153" i="1" s="1"/>
  <c r="AG154" i="1" a="1"/>
  <c r="AG154" i="1" s="1"/>
  <c r="AG155" i="1" a="1"/>
  <c r="AG155" i="1" s="1"/>
  <c r="AG156" i="1" a="1"/>
  <c r="AG156" i="1" s="1"/>
  <c r="AG157" i="1" a="1"/>
  <c r="AG157" i="1" s="1"/>
  <c r="AG158" i="1" a="1"/>
  <c r="AG158" i="1" s="1"/>
  <c r="AG159" i="1" a="1"/>
  <c r="AG159" i="1" s="1"/>
  <c r="AG160" i="1" a="1"/>
  <c r="AG160" i="1" s="1"/>
  <c r="AG161" i="1" a="1"/>
  <c r="AG161" i="1" s="1"/>
  <c r="AG162" i="1" a="1"/>
  <c r="AG162" i="1" s="1"/>
  <c r="AG163" i="1" a="1"/>
  <c r="AG163" i="1" s="1"/>
  <c r="AG164" i="1" a="1"/>
  <c r="AG164" i="1" s="1"/>
  <c r="AG165" i="1" a="1"/>
  <c r="AG165" i="1" s="1"/>
  <c r="AG166" i="1" a="1"/>
  <c r="AG166" i="1" s="1"/>
  <c r="AG167" i="1" a="1"/>
  <c r="AG167" i="1" s="1"/>
  <c r="AG168" i="1" a="1"/>
  <c r="AG168" i="1" s="1"/>
  <c r="AG169" i="1" a="1"/>
  <c r="AG169" i="1" s="1"/>
  <c r="AG170" i="1" a="1"/>
  <c r="AG170" i="1" s="1"/>
  <c r="AG171" i="1" a="1"/>
  <c r="AG171" i="1" s="1"/>
  <c r="AG172" i="1" a="1"/>
  <c r="AG172" i="1" s="1"/>
  <c r="AG173" i="1" a="1"/>
  <c r="AG173" i="1" s="1"/>
  <c r="AG174" i="1" a="1"/>
  <c r="AG174" i="1" s="1"/>
  <c r="AG175" i="1" a="1"/>
  <c r="AG175" i="1" s="1"/>
  <c r="AG176" i="1" a="1"/>
  <c r="AG176" i="1" s="1"/>
  <c r="AG177" i="1" a="1"/>
  <c r="AG177" i="1" s="1"/>
  <c r="AG178" i="1" a="1"/>
  <c r="AG178" i="1" s="1"/>
  <c r="AG179" i="1" a="1"/>
  <c r="AG179" i="1" s="1"/>
  <c r="AG180" i="1" a="1"/>
  <c r="AG180" i="1" s="1"/>
  <c r="AG181" i="1" a="1"/>
  <c r="AG181" i="1" s="1"/>
  <c r="AG182" i="1" a="1"/>
  <c r="AG182" i="1" s="1"/>
  <c r="AG183" i="1" a="1"/>
  <c r="AG183" i="1" s="1"/>
  <c r="AG184" i="1" a="1"/>
  <c r="AG184" i="1" s="1"/>
  <c r="AG185" i="1" a="1"/>
  <c r="AG185" i="1" s="1"/>
  <c r="AG186" i="1" a="1"/>
  <c r="AG186" i="1" s="1"/>
  <c r="AG187" i="1" a="1"/>
  <c r="AG187" i="1" s="1"/>
  <c r="AG188" i="1" a="1"/>
  <c r="AG188" i="1" s="1"/>
  <c r="AG189" i="1" a="1"/>
  <c r="AG189" i="1" s="1"/>
  <c r="AG190" i="1" a="1"/>
  <c r="AG190" i="1" s="1"/>
  <c r="AG191" i="1" a="1"/>
  <c r="AG191" i="1" s="1"/>
  <c r="AG192" i="1" a="1"/>
  <c r="AG192" i="1" s="1"/>
  <c r="AG193" i="1" a="1"/>
  <c r="AG193" i="1" s="1"/>
  <c r="AG194" i="1" a="1"/>
  <c r="AG194" i="1" s="1"/>
  <c r="AG195" i="1" a="1"/>
  <c r="AG195" i="1" s="1"/>
  <c r="AG196" i="1" a="1"/>
  <c r="AG196" i="1" s="1"/>
  <c r="AG197" i="1" a="1"/>
  <c r="AG197" i="1" s="1"/>
  <c r="AG198" i="1" a="1"/>
  <c r="AG198" i="1" s="1"/>
  <c r="AG199" i="1" a="1"/>
  <c r="AG199" i="1" s="1"/>
  <c r="AG200" i="1" a="1"/>
  <c r="AG200" i="1" s="1"/>
  <c r="AG201" i="1" a="1"/>
  <c r="AG201" i="1" s="1"/>
  <c r="AG202" i="1" a="1"/>
  <c r="AG202" i="1" s="1"/>
  <c r="AG203" i="1" a="1"/>
  <c r="AG203" i="1" s="1"/>
  <c r="AG204" i="1" a="1"/>
  <c r="AG204" i="1" s="1"/>
  <c r="AG205" i="1" a="1"/>
  <c r="AG205" i="1" s="1"/>
  <c r="AG206" i="1" a="1"/>
  <c r="AG206" i="1" s="1"/>
  <c r="AG207" i="1" a="1"/>
  <c r="AG207" i="1" s="1"/>
  <c r="AG208" i="1" a="1"/>
  <c r="AG208" i="1" s="1"/>
  <c r="AG209" i="1" a="1"/>
  <c r="AG209" i="1" s="1"/>
  <c r="AG210" i="1" a="1"/>
  <c r="AG210" i="1" s="1"/>
  <c r="AG211" i="1" a="1"/>
  <c r="AG211" i="1" s="1"/>
  <c r="AG212" i="1" a="1"/>
  <c r="AG212" i="1" s="1"/>
  <c r="AG213" i="1" a="1"/>
  <c r="AG213" i="1" s="1"/>
  <c r="AG214" i="1" a="1"/>
  <c r="AG214" i="1" s="1"/>
  <c r="AG215" i="1" a="1"/>
  <c r="AG215" i="1" s="1"/>
  <c r="AG216" i="1" a="1"/>
  <c r="AG216" i="1" s="1"/>
  <c r="AG217" i="1" a="1"/>
  <c r="AG217" i="1" s="1"/>
  <c r="AG218" i="1" a="1"/>
  <c r="AG218" i="1" s="1"/>
  <c r="AG219" i="1" a="1"/>
  <c r="AG219" i="1" s="1"/>
  <c r="AG220" i="1" a="1"/>
  <c r="AG220" i="1" s="1"/>
  <c r="AG221" i="1" a="1"/>
  <c r="AG221" i="1" s="1"/>
  <c r="AG222" i="1" a="1"/>
  <c r="AG222" i="1" s="1"/>
  <c r="AG223" i="1" a="1"/>
  <c r="AG223" i="1" s="1"/>
  <c r="AG224" i="1" a="1"/>
  <c r="AG224" i="1" s="1"/>
  <c r="AG225" i="1" a="1"/>
  <c r="AG225" i="1" s="1"/>
  <c r="AG226" i="1" a="1"/>
  <c r="AG226" i="1" s="1"/>
  <c r="AG227" i="1" a="1"/>
  <c r="AG227" i="1" s="1"/>
  <c r="AG228" i="1" a="1"/>
  <c r="AG228" i="1" s="1"/>
  <c r="AG229" i="1" a="1"/>
  <c r="AG229" i="1" s="1"/>
  <c r="AG230" i="1" a="1"/>
  <c r="AG230" i="1" s="1"/>
  <c r="AG231" i="1" a="1"/>
  <c r="AG231" i="1" s="1"/>
  <c r="AG232" i="1" a="1"/>
  <c r="AG232" i="1" s="1"/>
  <c r="AG233" i="1" a="1"/>
  <c r="AG233" i="1" s="1"/>
  <c r="AG234" i="1" a="1"/>
  <c r="AG234" i="1" s="1"/>
  <c r="AG235" i="1" a="1"/>
  <c r="AG235" i="1" s="1"/>
  <c r="AG236" i="1" a="1"/>
  <c r="AG236" i="1" s="1"/>
  <c r="AG237" i="1" a="1"/>
  <c r="AG237" i="1" s="1"/>
  <c r="AG238" i="1" a="1"/>
  <c r="AG238" i="1" s="1"/>
  <c r="AG239" i="1" a="1"/>
  <c r="AG239" i="1" s="1"/>
  <c r="AG240" i="1" a="1"/>
  <c r="AG240" i="1" s="1"/>
  <c r="AG241" i="1" a="1"/>
  <c r="AG241" i="1" s="1"/>
  <c r="AG242" i="1" a="1"/>
  <c r="AG242" i="1" s="1"/>
  <c r="AG243" i="1" a="1"/>
  <c r="AG243" i="1" s="1"/>
  <c r="AG244" i="1" a="1"/>
  <c r="AG244" i="1" s="1"/>
  <c r="AG245" i="1" a="1"/>
  <c r="AG245" i="1" s="1"/>
  <c r="AG246" i="1" a="1"/>
  <c r="AG246" i="1" s="1"/>
  <c r="AG247" i="1" a="1"/>
  <c r="AG247" i="1" s="1"/>
  <c r="AG248" i="1" a="1"/>
  <c r="AG248" i="1" s="1"/>
  <c r="AG249" i="1" a="1"/>
  <c r="AG249" i="1" s="1"/>
  <c r="AG250" i="1" a="1"/>
  <c r="AG250" i="1" s="1"/>
  <c r="AG251" i="1" a="1"/>
  <c r="AG251" i="1" s="1"/>
  <c r="AG252" i="1" a="1"/>
  <c r="AG252" i="1" s="1"/>
  <c r="AG253" i="1" a="1"/>
  <c r="AG253" i="1" s="1"/>
  <c r="AG254" i="1" a="1"/>
  <c r="AG254" i="1" s="1"/>
  <c r="AG255" i="1" a="1"/>
  <c r="AG255" i="1" s="1"/>
  <c r="AG256" i="1" a="1"/>
  <c r="AG256" i="1" s="1"/>
  <c r="AG257" i="1" a="1"/>
  <c r="AG257" i="1" s="1"/>
  <c r="AG258" i="1" a="1"/>
  <c r="AG258" i="1" s="1"/>
  <c r="AG259" i="1" a="1"/>
  <c r="AG259" i="1" s="1"/>
  <c r="AG260" i="1" a="1"/>
  <c r="AG260" i="1" s="1"/>
  <c r="AG261" i="1" a="1"/>
  <c r="AG261" i="1" s="1"/>
  <c r="AG262" i="1" a="1"/>
  <c r="AG262" i="1" s="1"/>
  <c r="AG263" i="1" a="1"/>
  <c r="AG263" i="1" s="1"/>
  <c r="AG264" i="1" a="1"/>
  <c r="AG264" i="1" s="1"/>
  <c r="AG265" i="1" a="1"/>
  <c r="AG265" i="1" s="1"/>
  <c r="AG266" i="1" a="1"/>
  <c r="AG266" i="1" s="1"/>
  <c r="AG267" i="1" a="1"/>
  <c r="AG267" i="1" s="1"/>
  <c r="AG268" i="1" a="1"/>
  <c r="AG268" i="1" s="1"/>
  <c r="AG269" i="1" a="1"/>
  <c r="AG269" i="1" s="1"/>
  <c r="AG270" i="1" a="1"/>
  <c r="AG270" i="1" s="1"/>
  <c r="AG271" i="1" a="1"/>
  <c r="AG271" i="1" s="1"/>
  <c r="AG272" i="1" a="1"/>
  <c r="AG272" i="1" s="1"/>
  <c r="AG273" i="1" a="1"/>
  <c r="AG273" i="1" s="1"/>
  <c r="AG274" i="1" a="1"/>
  <c r="AG274" i="1" s="1"/>
  <c r="AG275" i="1" a="1"/>
  <c r="AG275" i="1" s="1"/>
  <c r="AG276" i="1" a="1"/>
  <c r="AG276" i="1" s="1"/>
  <c r="AG277" i="1" a="1"/>
  <c r="AG277" i="1" s="1"/>
  <c r="AG278" i="1" a="1"/>
  <c r="AG278" i="1" s="1"/>
  <c r="AG279" i="1" a="1"/>
  <c r="AG279" i="1" s="1"/>
  <c r="AG280" i="1" a="1"/>
  <c r="AG280" i="1" s="1"/>
  <c r="AG281" i="1" a="1"/>
  <c r="AG281" i="1" s="1"/>
  <c r="AG282" i="1" a="1"/>
  <c r="AG282" i="1" s="1"/>
  <c r="AG283" i="1" a="1"/>
  <c r="AG283" i="1" s="1"/>
  <c r="AG284" i="1" a="1"/>
  <c r="AG284" i="1" s="1"/>
  <c r="AG285" i="1" a="1"/>
  <c r="AG285" i="1" s="1"/>
  <c r="AG286" i="1" a="1"/>
  <c r="AG286" i="1" s="1"/>
  <c r="AG287" i="1" a="1"/>
  <c r="AG287" i="1" s="1"/>
  <c r="AG288" i="1" a="1"/>
  <c r="AG288" i="1" s="1"/>
  <c r="AG289" i="1" a="1"/>
  <c r="AG289" i="1" s="1"/>
  <c r="AG290" i="1" a="1"/>
  <c r="AG290" i="1" s="1"/>
  <c r="AG291" i="1" a="1"/>
  <c r="AG291" i="1" s="1"/>
  <c r="AG292" i="1" a="1"/>
  <c r="AG292" i="1" s="1"/>
  <c r="AG293" i="1" a="1"/>
  <c r="AG293" i="1" s="1"/>
  <c r="AG294" i="1" a="1"/>
  <c r="AG294" i="1" s="1"/>
  <c r="AG295" i="1" a="1"/>
  <c r="AG295" i="1" s="1"/>
  <c r="AG296" i="1" a="1"/>
  <c r="AG296" i="1" s="1"/>
  <c r="AG297" i="1" a="1"/>
  <c r="AG297" i="1" s="1"/>
  <c r="AG298" i="1" a="1"/>
  <c r="AG298" i="1" s="1"/>
  <c r="AG299" i="1" a="1"/>
  <c r="AG299" i="1" s="1"/>
  <c r="AG300" i="1" a="1"/>
  <c r="AG300" i="1" s="1"/>
  <c r="AG301" i="1" a="1"/>
  <c r="AG301" i="1" s="1"/>
  <c r="AG302" i="1" a="1"/>
  <c r="AG302" i="1" s="1"/>
  <c r="AG303" i="1" a="1"/>
  <c r="AG303" i="1" s="1"/>
  <c r="AG304" i="1" a="1"/>
  <c r="AG304" i="1" s="1"/>
  <c r="AG305" i="1" a="1"/>
  <c r="AG305" i="1" s="1"/>
  <c r="AG306" i="1" a="1"/>
  <c r="AG306" i="1" s="1"/>
  <c r="AG307" i="1" a="1"/>
  <c r="AG307" i="1" s="1"/>
  <c r="AG308" i="1" a="1"/>
  <c r="AG308" i="1" s="1"/>
  <c r="AG309" i="1" a="1"/>
  <c r="AG309" i="1" s="1"/>
  <c r="AG310" i="1" a="1"/>
  <c r="AG310" i="1" s="1"/>
  <c r="AG311" i="1" a="1"/>
  <c r="AG311" i="1" s="1"/>
  <c r="AG312" i="1" a="1"/>
  <c r="AG312" i="1" s="1"/>
  <c r="AG313" i="1" a="1"/>
  <c r="AG313" i="1" s="1"/>
  <c r="AG314" i="1" a="1"/>
  <c r="AG314" i="1" s="1"/>
  <c r="AG315" i="1" a="1"/>
  <c r="AG315" i="1" s="1"/>
  <c r="AG316" i="1" a="1"/>
  <c r="AG316" i="1" s="1"/>
  <c r="AG317" i="1" a="1"/>
  <c r="AG317" i="1" s="1"/>
  <c r="AG318" i="1" a="1"/>
  <c r="AG318" i="1" s="1"/>
  <c r="AG319" i="1" a="1"/>
  <c r="AG319" i="1" s="1"/>
  <c r="AG320" i="1" a="1"/>
  <c r="AG320" i="1" s="1"/>
  <c r="AG321" i="1" a="1"/>
  <c r="AG321" i="1" s="1"/>
  <c r="AG322" i="1" a="1"/>
  <c r="AG322" i="1" s="1"/>
  <c r="AG323" i="1" a="1"/>
  <c r="AG323" i="1" s="1"/>
  <c r="AG324" i="1" a="1"/>
  <c r="AG324" i="1" s="1"/>
  <c r="AG325" i="1" a="1"/>
  <c r="AG325" i="1" s="1"/>
  <c r="AG326" i="1" a="1"/>
  <c r="AG326" i="1" s="1"/>
  <c r="AG327" i="1" a="1"/>
  <c r="AG327" i="1" s="1"/>
  <c r="AG328" i="1" a="1"/>
  <c r="AG328" i="1" s="1"/>
  <c r="AG329" i="1" a="1"/>
  <c r="AG329" i="1" s="1"/>
  <c r="AG330" i="1" a="1"/>
  <c r="AG330" i="1" s="1"/>
  <c r="AG331" i="1" a="1"/>
  <c r="AG331" i="1" s="1"/>
  <c r="AG332" i="1" a="1"/>
  <c r="AG332" i="1" s="1"/>
  <c r="AG333" i="1" a="1"/>
  <c r="AG333" i="1" s="1"/>
  <c r="AG334" i="1" a="1"/>
  <c r="AG334" i="1" s="1"/>
  <c r="AG335" i="1" a="1"/>
  <c r="AG335" i="1" s="1"/>
  <c r="AG336" i="1" a="1"/>
  <c r="AG336" i="1" s="1"/>
  <c r="AG337" i="1" a="1"/>
  <c r="AG337" i="1" s="1"/>
  <c r="AG338" i="1" a="1"/>
  <c r="AG338" i="1" s="1"/>
  <c r="AG339" i="1" a="1"/>
  <c r="AG339" i="1" s="1"/>
  <c r="AG340" i="1" a="1"/>
  <c r="AG340" i="1" s="1"/>
  <c r="AG341" i="1" a="1"/>
  <c r="AG341" i="1" s="1"/>
  <c r="AG342" i="1" a="1"/>
  <c r="AG342" i="1" s="1"/>
  <c r="AG343" i="1" a="1"/>
  <c r="AG343" i="1" s="1"/>
  <c r="AG344" i="1" a="1"/>
  <c r="AG344" i="1" s="1"/>
  <c r="AG345" i="1" a="1"/>
  <c r="AG345" i="1"/>
  <c r="AG346" i="1" a="1"/>
  <c r="AG346" i="1" s="1"/>
  <c r="AG347" i="1" a="1"/>
  <c r="AG347" i="1" s="1"/>
  <c r="AG348" i="1" a="1"/>
  <c r="AG348" i="1" s="1"/>
  <c r="AG349" i="1" a="1"/>
  <c r="AG349" i="1" s="1"/>
  <c r="AG350" i="1" a="1"/>
  <c r="AG350" i="1"/>
  <c r="AG351" i="1" a="1"/>
  <c r="AG351" i="1" s="1"/>
  <c r="AG352" i="1" a="1"/>
  <c r="AG352" i="1" s="1"/>
  <c r="AG353" i="1" a="1"/>
  <c r="AG353" i="1" s="1"/>
  <c r="AG354" i="1" a="1"/>
  <c r="AG354" i="1"/>
  <c r="AG355" i="1" a="1"/>
  <c r="AG355" i="1" s="1"/>
  <c r="AG356" i="1" a="1"/>
  <c r="AG356" i="1"/>
  <c r="AG357" i="1" a="1"/>
  <c r="AG357" i="1" s="1"/>
  <c r="AG358" i="1" a="1"/>
  <c r="AG358" i="1"/>
  <c r="AG359" i="1" a="1"/>
  <c r="AG359" i="1" s="1"/>
  <c r="AG360" i="1" a="1"/>
  <c r="AG360" i="1" s="1"/>
  <c r="AG361" i="1" a="1"/>
  <c r="AG361" i="1" s="1"/>
  <c r="AG362" i="1" a="1"/>
  <c r="AG362" i="1" s="1"/>
  <c r="AG363" i="1" a="1"/>
  <c r="AG363" i="1" s="1"/>
  <c r="AG364" i="1" a="1"/>
  <c r="AG364" i="1"/>
  <c r="AG365" i="1" a="1"/>
  <c r="AG365" i="1"/>
  <c r="AG366" i="1" a="1"/>
  <c r="AG366" i="1" s="1"/>
  <c r="AG367" i="1" a="1"/>
  <c r="AG367" i="1" s="1"/>
  <c r="AG368" i="1" a="1"/>
  <c r="AG368" i="1"/>
  <c r="AG369" i="1" a="1"/>
  <c r="AG369" i="1" s="1"/>
  <c r="AG370" i="1" a="1"/>
  <c r="AG370" i="1" s="1"/>
  <c r="AG371" i="1" a="1"/>
  <c r="AG371" i="1" s="1"/>
  <c r="AG372" i="1" a="1"/>
  <c r="AG372" i="1"/>
  <c r="AG373" i="1" a="1"/>
  <c r="AG373" i="1"/>
  <c r="AG374" i="1" a="1"/>
  <c r="AG374" i="1"/>
  <c r="AG375" i="1" a="1"/>
  <c r="AG375" i="1" s="1"/>
  <c r="AG376" i="1" a="1"/>
  <c r="AG376" i="1" s="1"/>
  <c r="AG377" i="1" a="1"/>
  <c r="AG377" i="1"/>
  <c r="AG378" i="1" a="1"/>
  <c r="AG378" i="1" s="1"/>
  <c r="AG379" i="1" a="1"/>
  <c r="AG379" i="1" s="1"/>
  <c r="AG380" i="1" a="1"/>
  <c r="AG380" i="1" s="1"/>
  <c r="AG381" i="1" a="1"/>
  <c r="AG381" i="1"/>
  <c r="AG382" i="1" a="1"/>
  <c r="AG382" i="1"/>
  <c r="AG383" i="1" a="1"/>
  <c r="AG383" i="1" s="1"/>
  <c r="AG384" i="1" a="1"/>
  <c r="AG384" i="1" s="1"/>
  <c r="AG385" i="1" a="1"/>
  <c r="AG385" i="1" s="1"/>
  <c r="AG386" i="1" a="1"/>
  <c r="AG386" i="1"/>
  <c r="AG387" i="1" a="1"/>
  <c r="AG387" i="1" s="1"/>
  <c r="AG388" i="1" a="1"/>
  <c r="AG388" i="1"/>
  <c r="AG389" i="1" a="1"/>
  <c r="AG389" i="1" s="1"/>
  <c r="AG390" i="1" a="1"/>
  <c r="AG390" i="1"/>
  <c r="AG391" i="1" a="1"/>
  <c r="AG391" i="1" s="1"/>
  <c r="AG392" i="1" a="1"/>
  <c r="AG392" i="1" s="1"/>
  <c r="AG393" i="1" a="1"/>
  <c r="AG393" i="1" s="1"/>
  <c r="AG394" i="1" a="1"/>
  <c r="AG394" i="1" s="1"/>
  <c r="AG395" i="1" a="1"/>
  <c r="AG395" i="1" s="1"/>
  <c r="AG396" i="1" a="1"/>
  <c r="AG396" i="1"/>
  <c r="AG397" i="1" a="1"/>
  <c r="AG397" i="1"/>
  <c r="AG398" i="1" a="1"/>
  <c r="AG398" i="1" s="1"/>
  <c r="AG399" i="1" a="1"/>
  <c r="AG399" i="1" s="1"/>
  <c r="AG400" i="1" a="1"/>
  <c r="AG400" i="1"/>
  <c r="AG401" i="1" a="1"/>
  <c r="AG401" i="1" s="1"/>
  <c r="AG402" i="1" a="1"/>
  <c r="AG402" i="1" s="1"/>
  <c r="AG403" i="1" a="1"/>
  <c r="AG403" i="1" s="1"/>
  <c r="AG404" i="1" a="1"/>
  <c r="AG404" i="1"/>
  <c r="AG405" i="1" a="1"/>
  <c r="AG405" i="1"/>
  <c r="AG406" i="1" a="1"/>
  <c r="AG406" i="1"/>
  <c r="AG407" i="1" a="1"/>
  <c r="AG407" i="1" s="1"/>
  <c r="AG408" i="1" a="1"/>
  <c r="AG408" i="1" s="1"/>
  <c r="AG409" i="1" a="1"/>
  <c r="AG409" i="1"/>
  <c r="AG410" i="1" a="1"/>
  <c r="AG410" i="1" s="1"/>
  <c r="AG411" i="1" a="1"/>
  <c r="AG411" i="1" s="1"/>
  <c r="AG412" i="1" a="1"/>
  <c r="AG412" i="1" s="1"/>
  <c r="AG413" i="1" a="1"/>
  <c r="AG413" i="1"/>
  <c r="AG414" i="1" a="1"/>
  <c r="AG414" i="1"/>
  <c r="AG415" i="1" a="1"/>
  <c r="AG415" i="1" s="1"/>
  <c r="AG416" i="1" a="1"/>
  <c r="AG416" i="1" s="1"/>
  <c r="AG417" i="1" a="1"/>
  <c r="AG417" i="1" s="1"/>
  <c r="AG418" i="1" a="1"/>
  <c r="AG418" i="1"/>
  <c r="AG419" i="1" a="1"/>
  <c r="AG419" i="1" s="1"/>
  <c r="AG420" i="1" a="1"/>
  <c r="AG420" i="1" s="1"/>
  <c r="AG421" i="1" a="1"/>
  <c r="AG421" i="1" s="1"/>
  <c r="AG422" i="1" a="1"/>
  <c r="AG422" i="1" s="1"/>
  <c r="AG423" i="1" a="1"/>
  <c r="AG423" i="1" s="1"/>
  <c r="AG424" i="1" a="1"/>
  <c r="AG424" i="1" s="1"/>
  <c r="AG425" i="1" a="1"/>
  <c r="AG425" i="1"/>
  <c r="AG426" i="1" a="1"/>
  <c r="AG426" i="1"/>
  <c r="AG427" i="1" a="1"/>
  <c r="AG427" i="1" s="1"/>
  <c r="AG428" i="1" a="1"/>
  <c r="AG428" i="1" s="1"/>
  <c r="AG429" i="1" a="1"/>
  <c r="AG429" i="1"/>
  <c r="AG430" i="1" a="1"/>
  <c r="AG430" i="1" s="1"/>
  <c r="AG431" i="1" a="1"/>
  <c r="AG431" i="1" s="1"/>
  <c r="AG432" i="1" a="1"/>
  <c r="AG432" i="1" s="1"/>
  <c r="AG433" i="1" a="1"/>
  <c r="AG433" i="1" s="1"/>
  <c r="AG434" i="1" a="1"/>
  <c r="AG434" i="1" s="1"/>
  <c r="AG435" i="1" a="1"/>
  <c r="AG435" i="1" s="1"/>
  <c r="AG436" i="1" a="1"/>
  <c r="AG436" i="1" s="1"/>
  <c r="AG437" i="1" a="1"/>
  <c r="AG437" i="1" s="1"/>
  <c r="AG438" i="1" a="1"/>
  <c r="AG438" i="1" s="1"/>
  <c r="AG439" i="1" a="1"/>
  <c r="AG439" i="1" s="1"/>
  <c r="AG440" i="1" a="1"/>
  <c r="AG440" i="1"/>
  <c r="AG441" i="1" a="1"/>
  <c r="AG441" i="1" s="1"/>
  <c r="AG442" i="1" a="1"/>
  <c r="AG442" i="1" s="1"/>
  <c r="AG443" i="1" a="1"/>
  <c r="AG443" i="1" s="1"/>
  <c r="AG444" i="1" a="1"/>
  <c r="AG444" i="1" s="1"/>
  <c r="AG445" i="1" a="1"/>
  <c r="AG445" i="1" s="1"/>
  <c r="AG446" i="1" a="1"/>
  <c r="AG446" i="1" s="1"/>
  <c r="AG447" i="1" a="1"/>
  <c r="AG447" i="1" s="1"/>
  <c r="AG448" i="1" a="1"/>
  <c r="AG448" i="1"/>
  <c r="AG449" i="1" a="1"/>
  <c r="AG449" i="1"/>
  <c r="AG450" i="1" a="1"/>
  <c r="AG450" i="1" s="1"/>
  <c r="AG451" i="1" a="1"/>
  <c r="AG451" i="1" s="1"/>
  <c r="AG452" i="1" a="1"/>
  <c r="AG452" i="1"/>
  <c r="AG453" i="1" a="1"/>
  <c r="AG453" i="1" s="1"/>
  <c r="AG454" i="1" a="1"/>
  <c r="AG454" i="1" s="1"/>
  <c r="AG455" i="1" a="1"/>
  <c r="AG455" i="1" s="1"/>
  <c r="AG456" i="1" a="1"/>
  <c r="AG456" i="1" s="1"/>
  <c r="AG457" i="1" a="1"/>
  <c r="AG457" i="1" s="1"/>
  <c r="AG458" i="1" a="1"/>
  <c r="AG458" i="1"/>
  <c r="AG459" i="1" a="1"/>
  <c r="AG459" i="1" s="1"/>
  <c r="AG460" i="1" a="1"/>
  <c r="AG460" i="1" s="1"/>
  <c r="AG461" i="1" a="1"/>
  <c r="AG461" i="1" s="1"/>
  <c r="AG462" i="1" a="1"/>
  <c r="AG462" i="1" s="1"/>
  <c r="AG463" i="1" a="1"/>
  <c r="AG463" i="1" s="1"/>
  <c r="AG464" i="1" a="1"/>
  <c r="AG464" i="1" s="1"/>
  <c r="AG465" i="1" a="1"/>
  <c r="AG465" i="1" s="1"/>
  <c r="AG466" i="1" a="1"/>
  <c r="AG466" i="1" s="1"/>
  <c r="AG467" i="1" a="1"/>
  <c r="AG467" i="1" s="1"/>
  <c r="AG468" i="1" a="1"/>
  <c r="AG468" i="1" s="1"/>
  <c r="AG469" i="1" a="1"/>
  <c r="AG469" i="1" s="1"/>
  <c r="AG470" i="1" a="1"/>
  <c r="AG470" i="1"/>
  <c r="AG471" i="1" a="1"/>
  <c r="AG471" i="1" s="1"/>
  <c r="AG472" i="1" a="1"/>
  <c r="AG472" i="1"/>
  <c r="AG473" i="1" a="1"/>
  <c r="AG473" i="1" s="1"/>
  <c r="AG474" i="1" a="1"/>
  <c r="AG474" i="1" s="1"/>
  <c r="AG475" i="1" a="1"/>
  <c r="AG475" i="1" s="1"/>
  <c r="AG476" i="1" a="1"/>
  <c r="AG476" i="1" s="1"/>
  <c r="AG477" i="1" a="1"/>
  <c r="AG477" i="1"/>
  <c r="AG478" i="1" a="1"/>
  <c r="AG478" i="1"/>
  <c r="AG479" i="1" a="1"/>
  <c r="AG479" i="1" s="1"/>
  <c r="AG480" i="1" a="1"/>
  <c r="AG480" i="1" s="1"/>
  <c r="AG481" i="1" a="1"/>
  <c r="AG481" i="1"/>
  <c r="AG482" i="1" a="1"/>
  <c r="AG482" i="1" s="1"/>
  <c r="AG483" i="1" a="1"/>
  <c r="AG483" i="1" s="1"/>
  <c r="AG484" i="1" a="1"/>
  <c r="AG484" i="1" s="1"/>
  <c r="AG485" i="1" a="1"/>
  <c r="AG485" i="1" s="1"/>
  <c r="AG486" i="1" a="1"/>
  <c r="AG486" i="1" s="1"/>
  <c r="AG487" i="1" a="1"/>
  <c r="AG487" i="1" s="1"/>
  <c r="AG488" i="1" a="1"/>
  <c r="AG488" i="1" s="1"/>
  <c r="AG489" i="1" a="1"/>
  <c r="AG489" i="1" s="1"/>
  <c r="AG490" i="1" a="1"/>
  <c r="AG490" i="1" s="1"/>
  <c r="AG491" i="1" a="1"/>
  <c r="AG491" i="1" s="1"/>
  <c r="AG492" i="1" a="1"/>
  <c r="AG492" i="1"/>
  <c r="AG493" i="1" a="1"/>
  <c r="AG493" i="1"/>
  <c r="AG494" i="1" a="1"/>
  <c r="AG494" i="1" s="1"/>
  <c r="AG495" i="1" a="1"/>
  <c r="AG495" i="1" s="1"/>
  <c r="AG496" i="1" a="1"/>
  <c r="AG496" i="1" s="1"/>
  <c r="AG497" i="1" a="1"/>
  <c r="AG497" i="1" s="1"/>
  <c r="AG498" i="1" a="1"/>
  <c r="AG498" i="1"/>
  <c r="AG499" i="1" a="1"/>
  <c r="AG499" i="1" s="1"/>
  <c r="AG500" i="1" a="1"/>
  <c r="AG500" i="1" s="1"/>
  <c r="AG501" i="1" a="1"/>
  <c r="AG501" i="1"/>
  <c r="AG502" i="1" a="1"/>
  <c r="AG502" i="1" s="1"/>
  <c r="AG503" i="1" a="1"/>
  <c r="AG503" i="1" s="1"/>
  <c r="AG504" i="1" a="1"/>
  <c r="AG504" i="1"/>
  <c r="AG505" i="1" a="1"/>
  <c r="AG505" i="1" s="1"/>
  <c r="AG506" i="1" a="1"/>
  <c r="AG506" i="1" s="1"/>
  <c r="AG507" i="1" a="1"/>
  <c r="AG507" i="1" s="1"/>
  <c r="AG508" i="1" a="1"/>
  <c r="AG508" i="1" s="1"/>
  <c r="AG509" i="1" a="1"/>
  <c r="AG509" i="1" s="1"/>
  <c r="AG510" i="1" a="1"/>
  <c r="AG510" i="1"/>
  <c r="AG511" i="1" a="1"/>
  <c r="AG511" i="1" s="1"/>
  <c r="AG512" i="1" a="1"/>
  <c r="AG512" i="1" s="1"/>
  <c r="AG513" i="1" a="1"/>
  <c r="AG513" i="1" s="1"/>
  <c r="AG514" i="1" a="1"/>
  <c r="AG514" i="1" s="1"/>
  <c r="AG515" i="1" a="1"/>
  <c r="AG515" i="1" s="1"/>
  <c r="AG516" i="1" a="1"/>
  <c r="AG516" i="1"/>
  <c r="AG517" i="1" a="1"/>
  <c r="AG517" i="1" s="1"/>
  <c r="AG518" i="1" a="1"/>
  <c r="AG518" i="1" s="1"/>
  <c r="AG519" i="1" a="1"/>
  <c r="AG519" i="1" s="1"/>
  <c r="AG520" i="1" a="1"/>
  <c r="AG520" i="1" s="1"/>
  <c r="AG521" i="1" a="1"/>
  <c r="AG521" i="1" s="1"/>
  <c r="AG522" i="1" a="1"/>
  <c r="AG522" i="1"/>
  <c r="AG523" i="1" a="1"/>
  <c r="AG523" i="1" s="1"/>
  <c r="AG524" i="1" a="1"/>
  <c r="AG524" i="1" s="1"/>
  <c r="AG525" i="1" a="1"/>
  <c r="AG525" i="1" s="1"/>
  <c r="AG526" i="1" a="1"/>
  <c r="AG526" i="1" s="1"/>
  <c r="AG527" i="1" a="1"/>
  <c r="AG527" i="1" s="1"/>
  <c r="AG528" i="1" a="1"/>
  <c r="AG528" i="1" s="1"/>
  <c r="AG529" i="1" a="1"/>
  <c r="AG529" i="1" s="1"/>
  <c r="AG530" i="1" a="1"/>
  <c r="AG530" i="1" s="1"/>
  <c r="AG531" i="1" a="1"/>
  <c r="AG531" i="1" s="1"/>
  <c r="AG532" i="1" a="1"/>
  <c r="AG532" i="1"/>
  <c r="AG533" i="1" a="1"/>
  <c r="AG533" i="1" s="1"/>
  <c r="AG534" i="1" a="1"/>
  <c r="AG534" i="1"/>
  <c r="AG535" i="1" a="1"/>
  <c r="AG535" i="1" s="1"/>
  <c r="AG536" i="1" a="1"/>
  <c r="AG536" i="1"/>
  <c r="AG537" i="1" a="1"/>
  <c r="AG537" i="1" s="1"/>
  <c r="AG538" i="1" a="1"/>
  <c r="AG538" i="1" s="1"/>
  <c r="AG539" i="1" a="1"/>
  <c r="AG539" i="1" s="1"/>
  <c r="AG540" i="1" a="1"/>
  <c r="AG540" i="1" s="1"/>
  <c r="AG541" i="1" a="1"/>
  <c r="AG541" i="1"/>
  <c r="AG542" i="1" a="1"/>
  <c r="AG542" i="1" s="1"/>
  <c r="AG543" i="1" a="1"/>
  <c r="AG543" i="1" s="1"/>
  <c r="AG544" i="1" a="1"/>
  <c r="AG544" i="1"/>
  <c r="AG545" i="1" a="1"/>
  <c r="AG545" i="1"/>
  <c r="AG546" i="1" a="1"/>
  <c r="AG546" i="1" s="1"/>
  <c r="AG547" i="1" a="1"/>
  <c r="AG547" i="1" s="1"/>
  <c r="AG548" i="1" a="1"/>
  <c r="AG548" i="1"/>
  <c r="AG549" i="1" a="1"/>
  <c r="AG549" i="1" s="1"/>
  <c r="AG550" i="1" a="1"/>
  <c r="AG550" i="1" s="1"/>
  <c r="AG551" i="1" a="1"/>
  <c r="AG551" i="1" s="1"/>
  <c r="AG552" i="1" a="1"/>
  <c r="AG552" i="1" s="1"/>
  <c r="AG553" i="1" a="1"/>
  <c r="AG553" i="1"/>
  <c r="AG554" i="1" a="1"/>
  <c r="AG554" i="1"/>
  <c r="AG555" i="1" a="1"/>
  <c r="AG555" i="1" s="1"/>
  <c r="AG556" i="1" a="1"/>
  <c r="AG556" i="1" s="1"/>
  <c r="AG557" i="1" a="1"/>
  <c r="AG557" i="1"/>
  <c r="AG558" i="1" a="1"/>
  <c r="AG558" i="1" s="1"/>
  <c r="AG559" i="1" a="1"/>
  <c r="AG559" i="1" s="1"/>
  <c r="AG560" i="1" a="1"/>
  <c r="AG560" i="1" s="1"/>
  <c r="AG561" i="1" a="1"/>
  <c r="AG561" i="1" s="1"/>
  <c r="AG562" i="1" a="1"/>
  <c r="AG562" i="1"/>
  <c r="AG563" i="1" a="1"/>
  <c r="AG563" i="1" s="1"/>
  <c r="AG564" i="1" a="1"/>
  <c r="AG564" i="1"/>
  <c r="AG565" i="1" a="1"/>
  <c r="AG565" i="1" s="1"/>
  <c r="AG566" i="1" a="1"/>
  <c r="AG566" i="1"/>
  <c r="AG567" i="1" a="1"/>
  <c r="AG567" i="1" s="1"/>
  <c r="AG568" i="1" a="1"/>
  <c r="AG568" i="1" s="1"/>
  <c r="AG569" i="1" a="1"/>
  <c r="AG569" i="1" s="1"/>
  <c r="AG570" i="1" a="1"/>
  <c r="AG570" i="1" s="1"/>
  <c r="AG571" i="1" a="1"/>
  <c r="AG571" i="1" s="1"/>
  <c r="AG572" i="1" a="1"/>
  <c r="AG572" i="1" s="1"/>
  <c r="AG573" i="1" a="1"/>
  <c r="AG573" i="1" s="1"/>
  <c r="AG574" i="1" a="1"/>
  <c r="AG574" i="1" s="1"/>
  <c r="AG575" i="1" a="1"/>
  <c r="AG575" i="1" s="1"/>
  <c r="AG576" i="1" a="1"/>
  <c r="AG576" i="1"/>
  <c r="AG577" i="1" a="1"/>
  <c r="AG577" i="1" s="1"/>
  <c r="AG578" i="1" a="1"/>
  <c r="AG578" i="1" s="1"/>
  <c r="AG579" i="1" a="1"/>
  <c r="AG579" i="1" s="1"/>
  <c r="AG580" i="1" a="1"/>
  <c r="AG580" i="1"/>
  <c r="AG581" i="1" a="1"/>
  <c r="AG581" i="1" s="1"/>
  <c r="AG582" i="1" a="1"/>
  <c r="AG582" i="1" s="1"/>
  <c r="AG583" i="1" a="1"/>
  <c r="AG583" i="1" s="1"/>
  <c r="AG584" i="1" a="1"/>
  <c r="AG584" i="1" s="1"/>
  <c r="AG585" i="1" a="1"/>
  <c r="AG585" i="1"/>
  <c r="AG586" i="1" a="1"/>
  <c r="AG586" i="1"/>
  <c r="AG587" i="1" a="1"/>
  <c r="AG587" i="1" s="1"/>
  <c r="AG588" i="1" a="1"/>
  <c r="AG588" i="1" s="1"/>
  <c r="AG589" i="1" a="1"/>
  <c r="AG589" i="1"/>
  <c r="AG590" i="1" a="1"/>
  <c r="AG590" i="1" s="1"/>
  <c r="AG591" i="1" a="1"/>
  <c r="AG591" i="1" s="1"/>
  <c r="AG592" i="1" a="1"/>
  <c r="AG592" i="1" s="1"/>
  <c r="AG593" i="1" a="1"/>
  <c r="AG593" i="1" s="1"/>
  <c r="AG594" i="1" a="1"/>
  <c r="AG594" i="1"/>
  <c r="AG595" i="1" a="1"/>
  <c r="AG595" i="1" s="1"/>
  <c r="AG596" i="1" a="1"/>
  <c r="AG596" i="1" s="1"/>
  <c r="AG597" i="1" a="1"/>
  <c r="AG597" i="1" s="1"/>
  <c r="AG598" i="1" a="1"/>
  <c r="AG598" i="1"/>
  <c r="AG599" i="1" a="1"/>
  <c r="AG599" i="1" s="1"/>
  <c r="AG600" i="1" a="1"/>
  <c r="AG600" i="1" s="1"/>
  <c r="AG601" i="1" a="1"/>
  <c r="AG601" i="1" s="1"/>
  <c r="AG602" i="1" a="1"/>
  <c r="AG602" i="1" s="1"/>
  <c r="AG603" i="1" a="1"/>
  <c r="AG603" i="1" s="1"/>
  <c r="AG604" i="1" a="1"/>
  <c r="AG604" i="1" s="1"/>
  <c r="AG605" i="1" a="1"/>
  <c r="AG605" i="1" s="1"/>
  <c r="AG606" i="1" a="1"/>
  <c r="AG606" i="1" s="1"/>
  <c r="AG607" i="1" a="1"/>
  <c r="AG607" i="1" s="1"/>
  <c r="AG608" i="1" a="1"/>
  <c r="AG608" i="1" s="1"/>
  <c r="AG609" i="1" a="1"/>
  <c r="AG609" i="1" s="1"/>
  <c r="AG610" i="1" a="1"/>
  <c r="AG610" i="1" s="1"/>
  <c r="AG611" i="1" a="1"/>
  <c r="AG611" i="1" s="1"/>
  <c r="AG612" i="1" a="1"/>
  <c r="AG612" i="1" s="1"/>
  <c r="AG613" i="1" a="1"/>
  <c r="AG613" i="1" s="1"/>
  <c r="AG614" i="1" a="1"/>
  <c r="AG614" i="1"/>
  <c r="AG615" i="1" a="1"/>
  <c r="AG615" i="1" s="1"/>
  <c r="AG616" i="1" a="1"/>
  <c r="AG616" i="1" s="1"/>
  <c r="AG617" i="1" a="1"/>
  <c r="AG617" i="1"/>
  <c r="AG618" i="1" a="1"/>
  <c r="AG618" i="1"/>
  <c r="AG619" i="1" a="1"/>
  <c r="AG619" i="1" s="1"/>
  <c r="AG620" i="1" a="1"/>
  <c r="AG620" i="1" s="1"/>
  <c r="AG621" i="1" a="1"/>
  <c r="AG621" i="1"/>
  <c r="AG622" i="1" a="1"/>
  <c r="AG622" i="1" s="1"/>
  <c r="AG623" i="1" a="1"/>
  <c r="AG623" i="1" s="1"/>
  <c r="AG624" i="1" a="1"/>
  <c r="AG624" i="1" s="1"/>
  <c r="AG625" i="1" a="1"/>
  <c r="AG625" i="1" s="1"/>
  <c r="AG626" i="1" a="1"/>
  <c r="AG626" i="1"/>
  <c r="AG627" i="1" a="1"/>
  <c r="AG627" i="1" s="1"/>
  <c r="AG628" i="1" a="1"/>
  <c r="AG628" i="1"/>
  <c r="AG629" i="1" a="1"/>
  <c r="AG629" i="1" s="1"/>
  <c r="AG630" i="1" a="1"/>
  <c r="AG630" i="1"/>
  <c r="AG631" i="1" a="1"/>
  <c r="AG631" i="1" s="1"/>
  <c r="AG632" i="1" a="1"/>
  <c r="AG632" i="1" s="1"/>
  <c r="AG633" i="1" a="1"/>
  <c r="AG633" i="1"/>
  <c r="AG634" i="1" a="1"/>
  <c r="AG634" i="1" s="1"/>
  <c r="AG635" i="1" a="1"/>
  <c r="AG635" i="1" s="1"/>
  <c r="AG636" i="1" a="1"/>
  <c r="AG636" i="1" s="1"/>
  <c r="AG637" i="1" a="1"/>
  <c r="AG637" i="1" s="1"/>
  <c r="AG638" i="1" a="1"/>
  <c r="AG638" i="1" s="1"/>
  <c r="AG639" i="1" a="1"/>
  <c r="AG639" i="1" s="1"/>
  <c r="AG640" i="1" a="1"/>
  <c r="AG640" i="1"/>
  <c r="AG641" i="1" a="1"/>
  <c r="AG641" i="1" s="1"/>
  <c r="AG642" i="1" a="1"/>
  <c r="AG642" i="1" s="1"/>
  <c r="AG643" i="1" a="1"/>
  <c r="AG643" i="1" s="1"/>
  <c r="AG644" i="1" a="1"/>
  <c r="AG644" i="1" s="1"/>
  <c r="AG645" i="1" a="1"/>
  <c r="AG645" i="1" s="1"/>
  <c r="AG646" i="1" a="1"/>
  <c r="AG646" i="1"/>
  <c r="AG647" i="1" a="1"/>
  <c r="AG647" i="1" s="1"/>
  <c r="AG648" i="1" a="1"/>
  <c r="AG648" i="1" s="1"/>
  <c r="AG649" i="1" a="1"/>
  <c r="AG649" i="1"/>
  <c r="AG650" i="1" a="1"/>
  <c r="AG650" i="1"/>
  <c r="AG651" i="1" a="1"/>
  <c r="AG651" i="1" s="1"/>
  <c r="AG652" i="1" a="1"/>
  <c r="AG652" i="1" s="1"/>
  <c r="AG653" i="1" a="1"/>
  <c r="AG653" i="1"/>
  <c r="AG654" i="1" a="1"/>
  <c r="AG654" i="1" s="1"/>
  <c r="AG655" i="1" a="1"/>
  <c r="AG655" i="1" s="1"/>
  <c r="AG656" i="1" a="1"/>
  <c r="AG656" i="1"/>
  <c r="AG657" i="1" a="1"/>
  <c r="AG657" i="1" s="1"/>
  <c r="AG658" i="1" a="1"/>
  <c r="AG658" i="1" s="1"/>
  <c r="AG659" i="1" a="1"/>
  <c r="AG659" i="1" s="1"/>
  <c r="AG660" i="1" a="1"/>
  <c r="AG660" i="1"/>
  <c r="AG661" i="1" a="1"/>
  <c r="AG661" i="1" s="1"/>
  <c r="AG662" i="1" a="1"/>
  <c r="AG662" i="1"/>
  <c r="AG663" i="1" a="1"/>
  <c r="AG663" i="1" s="1"/>
  <c r="AG664" i="1" a="1"/>
  <c r="AG664" i="1"/>
  <c r="AG665" i="1" a="1"/>
  <c r="AG665" i="1"/>
  <c r="AG666" i="1" a="1"/>
  <c r="AG666" i="1" s="1"/>
  <c r="AG667" i="1" a="1"/>
  <c r="AG667" i="1" s="1"/>
  <c r="AG668" i="1" a="1"/>
  <c r="AG668" i="1" s="1"/>
  <c r="AG669" i="1" a="1"/>
  <c r="AG669" i="1" s="1"/>
  <c r="AG670" i="1" a="1"/>
  <c r="AG670" i="1" s="1"/>
  <c r="AG671" i="1" a="1"/>
  <c r="AG671" i="1" s="1"/>
  <c r="AG672" i="1" a="1"/>
  <c r="AG672" i="1" s="1"/>
  <c r="AG673" i="1" a="1"/>
  <c r="AG673" i="1"/>
  <c r="AG674" i="1" a="1"/>
  <c r="AG674" i="1" s="1"/>
  <c r="AG675" i="1" a="1"/>
  <c r="AG675" i="1" s="1"/>
  <c r="AG676" i="1" a="1"/>
  <c r="AG676" i="1" s="1"/>
  <c r="AG677" i="1" a="1"/>
  <c r="AG677" i="1" s="1"/>
  <c r="AG678" i="1" a="1"/>
  <c r="AG678" i="1" s="1"/>
  <c r="AG679" i="1" a="1"/>
  <c r="AG679" i="1" s="1"/>
  <c r="AG680" i="1" a="1"/>
  <c r="AG680" i="1" s="1"/>
  <c r="AG681" i="1" a="1"/>
  <c r="AG681" i="1" s="1"/>
  <c r="AG682" i="1" a="1"/>
  <c r="AG682" i="1" s="1"/>
  <c r="AG683" i="1" a="1"/>
  <c r="AG683" i="1" s="1"/>
  <c r="AG684" i="1" a="1"/>
  <c r="AG684" i="1" s="1"/>
  <c r="AG685" i="1" a="1"/>
  <c r="AG685" i="1"/>
  <c r="AG686" i="1" a="1"/>
  <c r="AG686" i="1" s="1"/>
  <c r="AG687" i="1" a="1"/>
  <c r="AG687" i="1" s="1"/>
  <c r="AG688" i="1" a="1"/>
  <c r="AG688" i="1" s="1"/>
  <c r="AG689" i="1" a="1"/>
  <c r="AG689" i="1"/>
  <c r="AG690" i="1" a="1"/>
  <c r="AG690" i="1"/>
  <c r="AG691" i="1" a="1"/>
  <c r="AG691" i="1"/>
  <c r="AG692" i="1" a="1"/>
  <c r="AG692" i="1" s="1"/>
  <c r="AG693" i="1" a="1"/>
  <c r="AG693" i="1" s="1"/>
  <c r="AG694" i="1" a="1"/>
  <c r="AG694" i="1"/>
  <c r="AG695" i="1" a="1"/>
  <c r="AG695" i="1" s="1"/>
  <c r="AG696" i="1" a="1"/>
  <c r="AG696" i="1" s="1"/>
  <c r="AG697" i="1" a="1"/>
  <c r="AG697" i="1"/>
  <c r="AG698" i="1" a="1"/>
  <c r="AG698" i="1"/>
  <c r="AG699" i="1" a="1"/>
  <c r="AG699" i="1" s="1"/>
  <c r="AG700" i="1" a="1"/>
  <c r="AG700" i="1" s="1"/>
  <c r="AG701" i="1" a="1"/>
  <c r="AG701" i="1"/>
  <c r="AG702" i="1" a="1"/>
  <c r="AG702" i="1"/>
  <c r="AG703" i="1" a="1"/>
  <c r="AG703" i="1" s="1"/>
  <c r="AG704" i="1" a="1"/>
  <c r="AG704" i="1" s="1"/>
  <c r="AG705" i="1" a="1"/>
  <c r="AG705" i="1"/>
  <c r="AG706" i="1" a="1"/>
  <c r="AG706" i="1"/>
  <c r="AG707" i="1" a="1"/>
  <c r="AG707" i="1" s="1"/>
  <c r="AG708" i="1" a="1"/>
  <c r="AG708" i="1" s="1"/>
  <c r="AG709" i="1" a="1"/>
  <c r="AG709" i="1"/>
  <c r="AG710" i="1" a="1"/>
  <c r="AG710" i="1"/>
  <c r="AG711" i="1" a="1"/>
  <c r="AG711" i="1"/>
  <c r="AG712" i="1" a="1"/>
  <c r="AG712" i="1" s="1"/>
  <c r="AG713" i="1" a="1"/>
  <c r="AG713" i="1" s="1"/>
  <c r="AG714" i="1" a="1"/>
  <c r="AG714" i="1"/>
  <c r="AG715" i="1" a="1"/>
  <c r="AG715" i="1" s="1"/>
  <c r="AG716" i="1" a="1"/>
  <c r="AG716" i="1" s="1"/>
  <c r="AG717" i="1" a="1"/>
  <c r="AG717" i="1" s="1"/>
  <c r="AG718" i="1" a="1"/>
  <c r="AG718" i="1"/>
  <c r="AG719" i="1" a="1"/>
  <c r="AG719" i="1"/>
  <c r="AG720" i="1" a="1"/>
  <c r="AG720" i="1" s="1"/>
  <c r="AG721" i="1" a="1"/>
  <c r="AG721" i="1" s="1"/>
  <c r="AG722" i="1" a="1"/>
  <c r="AG722" i="1"/>
  <c r="AG723" i="1" a="1"/>
  <c r="AG723" i="1" s="1"/>
  <c r="AG724" i="1" a="1"/>
  <c r="AG724" i="1" s="1"/>
  <c r="AG725" i="1" a="1"/>
  <c r="AG725" i="1"/>
  <c r="AG726" i="1" a="1"/>
  <c r="AG726" i="1"/>
  <c r="AG727" i="1" a="1"/>
  <c r="AG727" i="1"/>
  <c r="AG728" i="1" a="1"/>
  <c r="AG728" i="1" s="1"/>
  <c r="AG729" i="1" a="1"/>
  <c r="AG729" i="1" s="1"/>
  <c r="AG730" i="1" a="1"/>
  <c r="AG730" i="1"/>
  <c r="AG731" i="1" a="1"/>
  <c r="AG731" i="1" s="1"/>
  <c r="AG732" i="1" a="1"/>
  <c r="AG732" i="1" s="1"/>
  <c r="AG733" i="1" a="1"/>
  <c r="AG733" i="1" s="1"/>
  <c r="AG734" i="1" a="1"/>
  <c r="AG734" i="1" s="1"/>
  <c r="AG735" i="1" a="1"/>
  <c r="AG735" i="1" s="1"/>
  <c r="AG736" i="1" a="1"/>
  <c r="AG736" i="1" s="1"/>
  <c r="AG737" i="1" a="1"/>
  <c r="AG737" i="1" s="1"/>
  <c r="AG738" i="1" a="1"/>
  <c r="AG738" i="1"/>
  <c r="AG739" i="1" a="1"/>
  <c r="AG739" i="1" s="1"/>
  <c r="AG740" i="1" a="1"/>
  <c r="AG740" i="1" s="1"/>
  <c r="AG741" i="1" a="1"/>
  <c r="AG741" i="1"/>
  <c r="AG742" i="1" a="1"/>
  <c r="AG742" i="1" s="1"/>
  <c r="AG743" i="1" a="1"/>
  <c r="AG743" i="1"/>
  <c r="AG744" i="1" a="1"/>
  <c r="AG744" i="1" s="1"/>
  <c r="AG745" i="1" a="1"/>
  <c r="AG745" i="1" s="1"/>
  <c r="AG746" i="1" a="1"/>
  <c r="AG746" i="1" s="1"/>
  <c r="AG747" i="1" a="1"/>
  <c r="AG747" i="1" s="1"/>
  <c r="AG748" i="1" a="1"/>
  <c r="AG748" i="1" s="1"/>
  <c r="AG749" i="1" a="1"/>
  <c r="AG749" i="1" s="1"/>
  <c r="AG750" i="1" a="1"/>
  <c r="AG750" i="1"/>
  <c r="AG751" i="1" a="1"/>
  <c r="AG751" i="1"/>
  <c r="AG752" i="1" a="1"/>
  <c r="AG752" i="1" s="1"/>
  <c r="AG753" i="1" a="1"/>
  <c r="AG753" i="1" s="1"/>
  <c r="AG754" i="1" a="1"/>
  <c r="AG754" i="1" s="1"/>
  <c r="AG755" i="1" a="1"/>
  <c r="AG755" i="1" s="1"/>
  <c r="AG756" i="1" a="1"/>
  <c r="AG756" i="1" s="1"/>
  <c r="AG757" i="1" a="1"/>
  <c r="AG757" i="1" s="1"/>
  <c r="AG758" i="1" a="1"/>
  <c r="AG758" i="1" s="1"/>
  <c r="AG759" i="1" a="1"/>
  <c r="AG759" i="1"/>
  <c r="AG760" i="1" a="1"/>
  <c r="AG760" i="1" s="1"/>
  <c r="AG761" i="1" a="1"/>
  <c r="AG761" i="1" s="1"/>
  <c r="AG762" i="1" a="1"/>
  <c r="AG762" i="1" s="1"/>
  <c r="AG763" i="1" a="1"/>
  <c r="AG763" i="1" s="1"/>
  <c r="AG764" i="1" a="1"/>
  <c r="AG764" i="1" s="1"/>
  <c r="AG765" i="1" a="1"/>
  <c r="AG765" i="1" s="1"/>
  <c r="AG766" i="1" a="1"/>
  <c r="AG766" i="1"/>
  <c r="AG767" i="1" a="1"/>
  <c r="AG767" i="1" s="1"/>
  <c r="AG768" i="1" a="1"/>
  <c r="AG768" i="1" s="1"/>
  <c r="AG769" i="1" a="1"/>
  <c r="AG769" i="1"/>
  <c r="AG770" i="1" a="1"/>
  <c r="AG770" i="1" s="1"/>
  <c r="AG771" i="1" a="1"/>
  <c r="AG771" i="1" s="1"/>
  <c r="AG772" i="1" a="1"/>
  <c r="AG772" i="1" s="1"/>
  <c r="AG773" i="1" a="1"/>
  <c r="AG773" i="1" s="1"/>
  <c r="AG774" i="1" a="1"/>
  <c r="AG774" i="1" s="1"/>
  <c r="AG775" i="1" a="1"/>
  <c r="AG775" i="1"/>
  <c r="AG776" i="1" a="1"/>
  <c r="AG776" i="1" s="1"/>
  <c r="AG777" i="1" a="1"/>
  <c r="AG777" i="1" s="1"/>
  <c r="AG778" i="1" a="1"/>
  <c r="AG778" i="1"/>
  <c r="AG779" i="1" a="1"/>
  <c r="AG779" i="1" s="1"/>
  <c r="AG780" i="1" a="1"/>
  <c r="AG780" i="1" s="1"/>
  <c r="AG781" i="1" a="1"/>
  <c r="AG781" i="1" s="1"/>
  <c r="AG782" i="1" a="1"/>
  <c r="AG782" i="1" s="1"/>
  <c r="AG783" i="1" a="1"/>
  <c r="AG783" i="1" s="1"/>
  <c r="AG784" i="1" a="1"/>
  <c r="AG784" i="1" s="1"/>
  <c r="AG785" i="1" a="1"/>
  <c r="AG785" i="1" s="1"/>
  <c r="AG786" i="1" a="1"/>
  <c r="AG786" i="1" s="1"/>
  <c r="AG787" i="1" a="1"/>
  <c r="AG787" i="1"/>
  <c r="AG788" i="1" a="1"/>
  <c r="AG788" i="1" s="1"/>
  <c r="AG789" i="1" a="1"/>
  <c r="AG789" i="1" s="1"/>
  <c r="AG790" i="1" a="1"/>
  <c r="AG790" i="1" s="1"/>
  <c r="AG791" i="1" a="1"/>
  <c r="AG791" i="1"/>
  <c r="AG792" i="1" a="1"/>
  <c r="AG792" i="1" s="1"/>
  <c r="AG793" i="1" a="1"/>
  <c r="AG793" i="1" s="1"/>
  <c r="AG794" i="1" a="1"/>
  <c r="AG794" i="1" s="1"/>
  <c r="AG795" i="1" a="1"/>
  <c r="AG795" i="1" s="1"/>
  <c r="AG796" i="1" a="1"/>
  <c r="AG796" i="1" s="1"/>
  <c r="AG797" i="1" a="1"/>
  <c r="AG797" i="1" s="1"/>
  <c r="AG798" i="1" a="1"/>
  <c r="AG798" i="1"/>
  <c r="AG799" i="1" a="1"/>
  <c r="AG799" i="1" s="1"/>
  <c r="AG800" i="1" a="1"/>
  <c r="AG800" i="1" s="1"/>
  <c r="AG801" i="1" a="1"/>
  <c r="AG801" i="1"/>
  <c r="AG802" i="1" a="1"/>
  <c r="AG802" i="1" s="1"/>
  <c r="AG803" i="1" a="1"/>
  <c r="AG803" i="1" s="1"/>
  <c r="AG804" i="1" a="1"/>
  <c r="AG804" i="1" s="1"/>
  <c r="AG805" i="1" a="1"/>
  <c r="AG805" i="1" s="1"/>
  <c r="AG806" i="1" a="1"/>
  <c r="AG806" i="1" s="1"/>
  <c r="AG807" i="1" a="1"/>
  <c r="AG807" i="1"/>
  <c r="AG808" i="1" a="1"/>
  <c r="AG808" i="1" s="1"/>
  <c r="AG809" i="1" a="1"/>
  <c r="AG809" i="1" s="1"/>
  <c r="AG810" i="1" a="1"/>
  <c r="AG810" i="1"/>
  <c r="AG811" i="1" a="1"/>
  <c r="AG811" i="1" s="1"/>
  <c r="AG812" i="1" a="1"/>
  <c r="AG812" i="1" s="1"/>
  <c r="AG813" i="1" a="1"/>
  <c r="AG813" i="1" s="1"/>
  <c r="AG814" i="1" a="1"/>
  <c r="AG814" i="1" s="1"/>
  <c r="AG815" i="1" a="1"/>
  <c r="AG815" i="1" s="1"/>
  <c r="AG816" i="1" a="1"/>
  <c r="AG816" i="1" s="1"/>
  <c r="AG817" i="1" a="1"/>
  <c r="AG817" i="1" s="1"/>
  <c r="AG818" i="1" a="1"/>
  <c r="AG818" i="1" s="1"/>
  <c r="AG819" i="1" a="1"/>
  <c r="AG819" i="1" s="1"/>
  <c r="AG820" i="1" a="1"/>
  <c r="AG820" i="1" s="1"/>
  <c r="AG821" i="1" a="1"/>
  <c r="AG821" i="1"/>
  <c r="AG822" i="1" a="1"/>
  <c r="AG822" i="1" s="1"/>
  <c r="AG823" i="1" a="1"/>
  <c r="AG823" i="1" s="1"/>
  <c r="AG824" i="1" a="1"/>
  <c r="AG824" i="1" s="1"/>
  <c r="AG825" i="1" a="1"/>
  <c r="AG825" i="1" s="1"/>
  <c r="AG826" i="1" a="1"/>
  <c r="AG826" i="1" s="1"/>
  <c r="AG827" i="1" a="1"/>
  <c r="AG827" i="1" s="1"/>
  <c r="AG828" i="1" a="1"/>
  <c r="AG828" i="1" s="1"/>
  <c r="AG829" i="1" a="1"/>
  <c r="AG829" i="1" s="1"/>
  <c r="AG830" i="1" a="1"/>
  <c r="AG830" i="1" s="1"/>
  <c r="AG831" i="1" a="1"/>
  <c r="AG831" i="1" s="1"/>
  <c r="AG832" i="1" a="1"/>
  <c r="AG832" i="1" s="1"/>
  <c r="AG833" i="1" a="1"/>
  <c r="AG833" i="1" s="1"/>
  <c r="AG834" i="1" a="1"/>
  <c r="AG834" i="1" s="1"/>
  <c r="AG835" i="1" a="1"/>
  <c r="AG835" i="1" s="1"/>
  <c r="AG836" i="1" a="1"/>
  <c r="AG836" i="1" s="1"/>
  <c r="AG837" i="1" a="1"/>
  <c r="AG837" i="1"/>
  <c r="AG838" i="1" a="1"/>
  <c r="AG838" i="1" s="1"/>
  <c r="AG839" i="1" a="1"/>
  <c r="AG839" i="1" s="1"/>
  <c r="AG840" i="1" a="1"/>
  <c r="AG840" i="1" s="1"/>
  <c r="AG841" i="1" a="1"/>
  <c r="AG841" i="1" s="1"/>
  <c r="AG842" i="1" a="1"/>
  <c r="AG842" i="1" s="1"/>
  <c r="AG843" i="1" a="1"/>
  <c r="AG843" i="1" s="1"/>
  <c r="AG844" i="1" a="1"/>
  <c r="AG844" i="1" s="1"/>
  <c r="AG845" i="1" a="1"/>
  <c r="AG845" i="1" s="1"/>
  <c r="AG846" i="1" a="1"/>
  <c r="AG846" i="1" s="1"/>
  <c r="AG847" i="1" a="1"/>
  <c r="AG847" i="1" s="1"/>
  <c r="AG848" i="1" a="1"/>
  <c r="AG848" i="1" s="1"/>
  <c r="AG849" i="1" a="1"/>
  <c r="AG849" i="1" s="1"/>
  <c r="AG850" i="1" a="1"/>
  <c r="AG850" i="1" s="1"/>
  <c r="AG851" i="1" a="1"/>
  <c r="AG851" i="1"/>
  <c r="AG852" i="1" a="1"/>
  <c r="AG852" i="1" s="1"/>
  <c r="AG853" i="1" a="1"/>
  <c r="AG853" i="1" s="1"/>
  <c r="AG854" i="1" a="1"/>
  <c r="AG854" i="1" s="1"/>
  <c r="AG855" i="1" a="1"/>
  <c r="AG855" i="1"/>
  <c r="AG856" i="1" a="1"/>
  <c r="AG856" i="1" s="1"/>
  <c r="AG857" i="1" a="1"/>
  <c r="AG857" i="1" s="1"/>
  <c r="AG858" i="1" a="1"/>
  <c r="AG858" i="1" s="1"/>
  <c r="AG859" i="1" a="1"/>
  <c r="AG859" i="1" s="1"/>
  <c r="AG860" i="1" a="1"/>
  <c r="AG860" i="1" s="1"/>
  <c r="AG861" i="1" a="1"/>
  <c r="AG861" i="1" s="1"/>
  <c r="AG862" i="1" a="1"/>
  <c r="AG862" i="1"/>
  <c r="AG863" i="1" a="1"/>
  <c r="AG863" i="1" s="1"/>
  <c r="AG864" i="1" a="1"/>
  <c r="AG864" i="1" s="1"/>
  <c r="AG865" i="1" a="1"/>
  <c r="AG865" i="1"/>
  <c r="AG866" i="1" a="1"/>
  <c r="AG866" i="1" s="1"/>
  <c r="AG867" i="1" a="1"/>
  <c r="AG867" i="1" s="1"/>
  <c r="AG868" i="1" a="1"/>
  <c r="AG868" i="1" s="1"/>
  <c r="AG869" i="1" a="1"/>
  <c r="AG869" i="1" s="1"/>
  <c r="AG870" i="1" a="1"/>
  <c r="AG870" i="1" s="1"/>
  <c r="AG871" i="1" a="1"/>
  <c r="AG871" i="1"/>
  <c r="AG872" i="1" a="1"/>
  <c r="AG872" i="1" s="1"/>
  <c r="AG873" i="1" a="1"/>
  <c r="AG873" i="1" s="1"/>
  <c r="AG874" i="1" a="1"/>
  <c r="AG874" i="1"/>
  <c r="AG875" i="1" a="1"/>
  <c r="AG875" i="1" s="1"/>
  <c r="AG876" i="1" a="1"/>
  <c r="AG876" i="1" s="1"/>
  <c r="AG877" i="1" a="1"/>
  <c r="AG877" i="1" s="1"/>
  <c r="AG878" i="1" a="1"/>
  <c r="AG878" i="1" s="1"/>
  <c r="AG879" i="1" a="1"/>
  <c r="AG879" i="1" s="1"/>
  <c r="AG880" i="1" a="1"/>
  <c r="AG880" i="1" s="1"/>
  <c r="AG881" i="1" a="1"/>
  <c r="AG881" i="1" s="1"/>
  <c r="AG882" i="1" a="1"/>
  <c r="AG882" i="1" s="1"/>
  <c r="AG883" i="1" a="1"/>
  <c r="AG883" i="1" s="1"/>
  <c r="AG884" i="1" a="1"/>
  <c r="AG884" i="1" s="1"/>
  <c r="AG885" i="1" a="1"/>
  <c r="AG885" i="1"/>
  <c r="AG886" i="1" a="1"/>
  <c r="AG886" i="1" s="1"/>
  <c r="AG887" i="1" a="1"/>
  <c r="AG887" i="1" s="1"/>
  <c r="AG888" i="1" a="1"/>
  <c r="AG888" i="1" s="1"/>
  <c r="AG889" i="1" a="1"/>
  <c r="AG889" i="1" s="1"/>
  <c r="AG890" i="1" a="1"/>
  <c r="AG890" i="1" s="1"/>
  <c r="AG891" i="1" a="1"/>
  <c r="AG891" i="1" s="1"/>
  <c r="AG892" i="1" a="1"/>
  <c r="AG892" i="1" s="1"/>
  <c r="AG893" i="1" a="1"/>
  <c r="AG893" i="1" s="1"/>
  <c r="AG894" i="1" a="1"/>
  <c r="AG894" i="1" s="1"/>
  <c r="AG895" i="1" a="1"/>
  <c r="AG895" i="1" s="1"/>
  <c r="AG896" i="1" a="1"/>
  <c r="AG896" i="1" s="1"/>
  <c r="AG897" i="1" a="1"/>
  <c r="AG897" i="1" s="1"/>
  <c r="AG898" i="1" a="1"/>
  <c r="AG898" i="1" s="1"/>
  <c r="AG899" i="1" a="1"/>
  <c r="AG899" i="1" s="1"/>
  <c r="AG900" i="1" a="1"/>
  <c r="AG900" i="1" s="1"/>
  <c r="AG901" i="1" a="1"/>
  <c r="AG901" i="1"/>
  <c r="AG902" i="1" a="1"/>
  <c r="AG902" i="1" s="1"/>
  <c r="AG903" i="1" a="1"/>
  <c r="AG903" i="1" s="1"/>
  <c r="AG904" i="1" a="1"/>
  <c r="AG904" i="1" s="1"/>
  <c r="AG905" i="1" a="1"/>
  <c r="AG905" i="1" s="1"/>
  <c r="AG906" i="1" a="1"/>
  <c r="AG906" i="1" s="1"/>
  <c r="AG907" i="1" a="1"/>
  <c r="AG907" i="1" s="1"/>
  <c r="AG908" i="1" a="1"/>
  <c r="AG908" i="1" s="1"/>
  <c r="AG909" i="1" a="1"/>
  <c r="AG909" i="1" s="1"/>
  <c r="AG910" i="1" a="1"/>
  <c r="AG910" i="1"/>
  <c r="AG911" i="1" a="1"/>
  <c r="AG911" i="1"/>
  <c r="AG912" i="1" a="1"/>
  <c r="AG912" i="1" s="1"/>
  <c r="AG913" i="1" a="1"/>
  <c r="AG913" i="1" s="1"/>
  <c r="AG914" i="1" a="1"/>
  <c r="AG914" i="1" s="1"/>
  <c r="AG915" i="1" a="1"/>
  <c r="AG915" i="1" s="1"/>
  <c r="AG916" i="1" a="1"/>
  <c r="AG916" i="1" s="1"/>
  <c r="AG917" i="1" a="1"/>
  <c r="AG917" i="1"/>
  <c r="AG918" i="1" a="1"/>
  <c r="AG918" i="1" s="1"/>
  <c r="AG919" i="1" a="1"/>
  <c r="AG919" i="1" s="1"/>
  <c r="AG920" i="1" a="1"/>
  <c r="AG920" i="1" s="1"/>
  <c r="AG921" i="1" a="1"/>
  <c r="AG921" i="1" s="1"/>
  <c r="AG922" i="1" a="1"/>
  <c r="AG922" i="1" s="1"/>
  <c r="AG923" i="1" a="1"/>
  <c r="AG923" i="1" s="1"/>
  <c r="AG924" i="1" a="1"/>
  <c r="AG924" i="1" s="1"/>
  <c r="AG925" i="1" a="1"/>
  <c r="AG925" i="1" s="1"/>
  <c r="AG926" i="1" a="1"/>
  <c r="AG926" i="1" s="1"/>
  <c r="AG927" i="1" a="1"/>
  <c r="AG927" i="1" s="1"/>
  <c r="AG928" i="1" a="1"/>
  <c r="AG928" i="1" s="1"/>
  <c r="AG929" i="1" a="1"/>
  <c r="AG929" i="1" s="1"/>
  <c r="AG930" i="1" a="1"/>
  <c r="AG930" i="1" s="1"/>
  <c r="AG931" i="1" a="1"/>
  <c r="AG931" i="1" s="1"/>
  <c r="AG932" i="1" a="1"/>
  <c r="AG932" i="1" s="1"/>
  <c r="AG933" i="1" a="1"/>
  <c r="AG933" i="1" s="1"/>
  <c r="AG934" i="1" a="1"/>
  <c r="AG934" i="1" s="1"/>
  <c r="AG935" i="1" a="1"/>
  <c r="AG935" i="1" s="1"/>
  <c r="AG936" i="1" a="1"/>
  <c r="AG936" i="1"/>
  <c r="AG937" i="1" a="1"/>
  <c r="AG937" i="1" s="1"/>
  <c r="AG938" i="1" a="1"/>
  <c r="AG938" i="1" s="1"/>
  <c r="AG939" i="1" a="1"/>
  <c r="AG939" i="1" s="1"/>
  <c r="AG940" i="1" a="1"/>
  <c r="AG940" i="1" s="1"/>
  <c r="AG941" i="1" a="1"/>
  <c r="AG941" i="1" s="1"/>
  <c r="AG942" i="1" a="1"/>
  <c r="AG942" i="1" s="1"/>
  <c r="AG943" i="1" a="1"/>
  <c r="AG943" i="1" s="1"/>
  <c r="AG944" i="1" a="1"/>
  <c r="AG944" i="1" s="1"/>
  <c r="AG945" i="1" a="1"/>
  <c r="AG945" i="1" s="1"/>
  <c r="AG946" i="1" a="1"/>
  <c r="AG946" i="1" s="1"/>
  <c r="AG947" i="1" a="1"/>
  <c r="AG947" i="1" s="1"/>
  <c r="AG948" i="1" a="1"/>
  <c r="AG948" i="1" s="1"/>
  <c r="AG949" i="1" a="1"/>
  <c r="AG949" i="1" s="1"/>
  <c r="AG950" i="1" a="1"/>
  <c r="AG950" i="1" s="1"/>
  <c r="AG951" i="1" a="1"/>
  <c r="AG951" i="1" s="1"/>
  <c r="AG952" i="1" a="1"/>
  <c r="AG952" i="1"/>
  <c r="AG953" i="1" a="1"/>
  <c r="AG953" i="1" s="1"/>
  <c r="AG954" i="1" a="1"/>
  <c r="AG954" i="1" s="1"/>
  <c r="AG955" i="1" a="1"/>
  <c r="AG955" i="1" s="1"/>
  <c r="AG956" i="1" a="1"/>
  <c r="AG956" i="1" s="1"/>
  <c r="AG957" i="1" a="1"/>
  <c r="AG957" i="1" s="1"/>
  <c r="AG958" i="1" a="1"/>
  <c r="AG958" i="1" s="1"/>
  <c r="AG959" i="1" a="1"/>
  <c r="AG959" i="1" s="1"/>
  <c r="AG960" i="1" a="1"/>
  <c r="AG960" i="1" s="1"/>
  <c r="AG961" i="1" a="1"/>
  <c r="AG961" i="1" s="1"/>
  <c r="AG962" i="1" a="1"/>
  <c r="AG962" i="1" s="1"/>
  <c r="AG963" i="1" a="1"/>
  <c r="AG963" i="1" s="1"/>
  <c r="AG964" i="1" a="1"/>
  <c r="AG964" i="1" s="1"/>
  <c r="AG965" i="1" a="1"/>
  <c r="AG965" i="1" s="1"/>
  <c r="AG966" i="1" a="1"/>
  <c r="AG966" i="1" s="1"/>
  <c r="AG967" i="1" a="1"/>
  <c r="AG967" i="1" s="1"/>
  <c r="AG968" i="1" a="1"/>
  <c r="AG968" i="1" s="1"/>
  <c r="AG969" i="1" a="1"/>
  <c r="AG969" i="1" s="1"/>
  <c r="AG970" i="1" a="1"/>
  <c r="AG970" i="1" s="1"/>
  <c r="AG971" i="1" a="1"/>
  <c r="AG971" i="1" s="1"/>
  <c r="AG972" i="1" a="1"/>
  <c r="AG972" i="1"/>
  <c r="AG973" i="1" a="1"/>
  <c r="AG973" i="1" s="1"/>
  <c r="AG974" i="1" a="1"/>
  <c r="AG974" i="1" s="1"/>
  <c r="AG975" i="1" a="1"/>
  <c r="AG975" i="1" s="1"/>
  <c r="AG976" i="1" a="1"/>
  <c r="AG976" i="1" s="1"/>
  <c r="AG977" i="1" a="1"/>
  <c r="AG977" i="1" s="1"/>
  <c r="AG978" i="1" a="1"/>
  <c r="AG978" i="1" s="1"/>
  <c r="AG979" i="1" a="1"/>
  <c r="AG979" i="1" s="1"/>
  <c r="AG980" i="1" a="1"/>
  <c r="AG980" i="1" s="1"/>
  <c r="AG981" i="1" a="1"/>
  <c r="AG981" i="1" s="1"/>
  <c r="AG982" i="1" a="1"/>
  <c r="AG982" i="1" s="1"/>
  <c r="AG983" i="1" a="1"/>
  <c r="AG983" i="1" s="1"/>
  <c r="AG984" i="1" a="1"/>
  <c r="AG984" i="1" s="1"/>
  <c r="AG985" i="1" a="1"/>
  <c r="AG985" i="1" s="1"/>
  <c r="AG986" i="1" a="1"/>
  <c r="AG986" i="1" s="1"/>
  <c r="AG987" i="1" a="1"/>
  <c r="AG987" i="1" s="1"/>
  <c r="AG988" i="1" a="1"/>
  <c r="AG988" i="1"/>
  <c r="AG989" i="1" a="1"/>
  <c r="AG989" i="1" s="1"/>
  <c r="AG990" i="1" a="1"/>
  <c r="AG990" i="1" s="1"/>
  <c r="AG991" i="1" a="1"/>
  <c r="AG991" i="1" s="1"/>
  <c r="AG992" i="1" a="1"/>
  <c r="AG992" i="1" s="1"/>
  <c r="AG993" i="1" a="1"/>
  <c r="AG993" i="1" s="1"/>
  <c r="AG994" i="1" a="1"/>
  <c r="AG994" i="1" s="1"/>
  <c r="AG995" i="1" a="1"/>
  <c r="AG995" i="1" s="1"/>
  <c r="AG996" i="1" a="1"/>
  <c r="AG996" i="1" s="1"/>
  <c r="AG997" i="1" a="1"/>
  <c r="AG997" i="1" s="1"/>
  <c r="AG998" i="1" a="1"/>
  <c r="AG998" i="1" s="1"/>
  <c r="AG999" i="1" a="1"/>
  <c r="AG999" i="1" s="1"/>
  <c r="AG1000" i="1" a="1"/>
  <c r="AG1000" i="1" s="1"/>
  <c r="AG1001" i="1" a="1"/>
  <c r="AG1001" i="1" s="1"/>
  <c r="AG1002" i="1" a="1"/>
  <c r="AG1002" i="1" s="1"/>
  <c r="AG1003" i="1" a="1"/>
  <c r="AG1003" i="1" s="1"/>
  <c r="AG1004" i="1" a="1"/>
  <c r="AG1004" i="1"/>
  <c r="AG1005" i="1" a="1"/>
  <c r="AG1005" i="1" s="1"/>
  <c r="AG1006" i="1" a="1"/>
  <c r="AG1006" i="1" s="1"/>
  <c r="AG1007" i="1" a="1"/>
  <c r="AG1007" i="1" s="1"/>
  <c r="AG1008" i="1" a="1"/>
  <c r="AG1008" i="1" s="1"/>
  <c r="AG1009" i="1" a="1"/>
  <c r="AG1009" i="1" s="1"/>
  <c r="AG1010" i="1" a="1"/>
  <c r="AG1010" i="1" s="1"/>
  <c r="AG1011" i="1" a="1"/>
  <c r="AG1011" i="1" s="1"/>
  <c r="AG1012" i="1" a="1"/>
  <c r="AG1012" i="1" s="1"/>
  <c r="AG1013" i="1" a="1"/>
  <c r="AG1013" i="1" s="1"/>
  <c r="AG1014" i="1" a="1"/>
  <c r="AG1014" i="1" s="1"/>
  <c r="AG1015" i="1" a="1"/>
  <c r="AG1015" i="1" s="1"/>
  <c r="AG1016" i="1" a="1"/>
  <c r="AG1016" i="1" s="1"/>
  <c r="AG1017" i="1" a="1"/>
  <c r="AG1017" i="1" s="1"/>
  <c r="AG1018" i="1" a="1"/>
  <c r="AG1018" i="1" s="1"/>
  <c r="AG1019" i="1" a="1"/>
  <c r="AG1019" i="1" s="1"/>
  <c r="AG1020" i="1" a="1"/>
  <c r="AG1020" i="1" s="1"/>
  <c r="AG1021" i="1" a="1"/>
  <c r="AG1021" i="1" s="1"/>
  <c r="AG1022" i="1" a="1"/>
  <c r="AG1022" i="1" s="1"/>
  <c r="AG1023" i="1" a="1"/>
  <c r="AG1023" i="1" s="1"/>
  <c r="AG1024" i="1" a="1"/>
  <c r="AG1024" i="1" s="1"/>
  <c r="AG1025" i="1" a="1"/>
  <c r="AG1025" i="1" s="1"/>
  <c r="AG1026" i="1" a="1"/>
  <c r="AG1026" i="1" s="1"/>
  <c r="AG1027" i="1" a="1"/>
  <c r="AG1027" i="1" s="1"/>
  <c r="AG1028" i="1" a="1"/>
  <c r="AG1028" i="1" s="1"/>
  <c r="AG1029" i="1" a="1"/>
  <c r="AG1029" i="1" s="1"/>
  <c r="AG1030" i="1" a="1"/>
  <c r="AG1030" i="1" s="1"/>
  <c r="AG1031" i="1" a="1"/>
  <c r="AG1031" i="1" s="1"/>
  <c r="AG1032" i="1" a="1"/>
  <c r="AG1032" i="1"/>
  <c r="AG1033" i="1" a="1"/>
  <c r="AG1033" i="1" s="1"/>
  <c r="AG1034" i="1" a="1"/>
  <c r="AG1034" i="1" s="1"/>
  <c r="AG1035" i="1" a="1"/>
  <c r="AG1035" i="1" s="1"/>
  <c r="AG1036" i="1" a="1"/>
  <c r="AG1036" i="1" s="1"/>
  <c r="AG1037" i="1" a="1"/>
  <c r="AG1037" i="1" s="1"/>
  <c r="AG1038" i="1" a="1"/>
  <c r="AG1038" i="1" s="1"/>
  <c r="AG1039" i="1" a="1"/>
  <c r="AG1039" i="1" s="1"/>
  <c r="AG1040" i="1" a="1"/>
  <c r="AG1040" i="1" s="1"/>
  <c r="AG1041" i="1" a="1"/>
  <c r="AG1041" i="1" s="1"/>
  <c r="AG1042" i="1" a="1"/>
  <c r="AG1042" i="1" s="1"/>
  <c r="AG1043" i="1" a="1"/>
  <c r="AG1043" i="1" s="1"/>
  <c r="AG1044" i="1" a="1"/>
  <c r="AG1044" i="1" s="1"/>
  <c r="AG1045" i="1" a="1"/>
  <c r="AG1045" i="1" s="1"/>
  <c r="AG1046" i="1" a="1"/>
  <c r="AG1046" i="1" s="1"/>
  <c r="AG1047" i="1" a="1"/>
  <c r="AG1047" i="1" s="1"/>
  <c r="AG1048" i="1" a="1"/>
  <c r="AG1048" i="1"/>
  <c r="AG1049" i="1" a="1"/>
  <c r="AG1049" i="1" s="1"/>
  <c r="AG1050" i="1" a="1"/>
  <c r="AG1050" i="1" s="1"/>
  <c r="AG1051" i="1" a="1"/>
  <c r="AG1051" i="1" s="1"/>
  <c r="AG1052" i="1" a="1"/>
  <c r="AG1052" i="1" s="1"/>
  <c r="AG1053" i="1" a="1"/>
  <c r="AG1053" i="1" s="1"/>
  <c r="AG1054" i="1" a="1"/>
  <c r="AG1054" i="1" s="1"/>
  <c r="AG1055" i="1" a="1"/>
  <c r="AG1055" i="1" s="1"/>
  <c r="AG1056" i="1" a="1"/>
  <c r="AG1056" i="1" s="1"/>
  <c r="AG1057" i="1" a="1"/>
  <c r="AG1057" i="1" s="1"/>
  <c r="AG1058" i="1" a="1"/>
  <c r="AG1058" i="1" s="1"/>
  <c r="AG1059" i="1" a="1"/>
  <c r="AG1059" i="1" s="1"/>
  <c r="AG1060" i="1" a="1"/>
  <c r="AG1060" i="1" s="1"/>
  <c r="AG1061" i="1" a="1"/>
  <c r="AG1061" i="1" s="1"/>
  <c r="AG1062" i="1" a="1"/>
  <c r="AG1062" i="1" s="1"/>
  <c r="AG1063" i="1" a="1"/>
  <c r="AG1063" i="1" s="1"/>
  <c r="AG1064" i="1" a="1"/>
  <c r="AG1064" i="1"/>
  <c r="AG1065" i="1" a="1"/>
  <c r="AG1065" i="1" s="1"/>
  <c r="AG1066" i="1" a="1"/>
  <c r="AG1066" i="1" s="1"/>
  <c r="AG1067" i="1" a="1"/>
  <c r="AG1067" i="1" s="1"/>
  <c r="AG1068" i="1" a="1"/>
  <c r="AG1068" i="1" s="1"/>
  <c r="AG1069" i="1" a="1"/>
  <c r="AG1069" i="1" s="1"/>
  <c r="AG1070" i="1" a="1"/>
  <c r="AG1070" i="1" s="1"/>
  <c r="AG1071" i="1" a="1"/>
  <c r="AG1071" i="1" s="1"/>
  <c r="AG1072" i="1" a="1"/>
  <c r="AG1072" i="1" s="1"/>
  <c r="AG1073" i="1" a="1"/>
  <c r="AG1073" i="1" s="1"/>
  <c r="AG1074" i="1" a="1"/>
  <c r="AG1074" i="1" s="1"/>
  <c r="AG1075" i="1" a="1"/>
  <c r="AG1075" i="1" s="1"/>
  <c r="AG1076" i="1" a="1"/>
  <c r="AG1076" i="1" s="1"/>
  <c r="AG1077" i="1" a="1"/>
  <c r="AG1077" i="1" s="1"/>
  <c r="AG1078" i="1" a="1"/>
  <c r="AG1078" i="1" s="1"/>
  <c r="AG1079" i="1" a="1"/>
  <c r="AG1079" i="1" s="1"/>
  <c r="AG1080" i="1" a="1"/>
  <c r="AG1080" i="1"/>
  <c r="AG1081" i="1" a="1"/>
  <c r="AG1081" i="1" s="1"/>
  <c r="AG1082" i="1" a="1"/>
  <c r="AG1082" i="1" s="1"/>
  <c r="AG1083" i="1" a="1"/>
  <c r="AG1083" i="1" s="1"/>
  <c r="AG1084" i="1" a="1"/>
  <c r="AG1084" i="1" s="1"/>
  <c r="AG1085" i="1" a="1"/>
  <c r="AG1085" i="1" s="1"/>
  <c r="AG1086" i="1" a="1"/>
  <c r="AG1086" i="1" s="1"/>
  <c r="AG1087" i="1" a="1"/>
  <c r="AG1087" i="1" s="1"/>
  <c r="AG1088" i="1" a="1"/>
  <c r="AG1088" i="1" s="1"/>
  <c r="AG1089" i="1" a="1"/>
  <c r="AG1089" i="1" s="1"/>
  <c r="AG1090" i="1" a="1"/>
  <c r="AG1090" i="1" s="1"/>
  <c r="AG1091" i="1" a="1"/>
  <c r="AG1091" i="1" s="1"/>
  <c r="AG1092" i="1" a="1"/>
  <c r="AG1092" i="1" s="1"/>
  <c r="AG1093" i="1" a="1"/>
  <c r="AG1093" i="1" s="1"/>
  <c r="AG1094" i="1" a="1"/>
  <c r="AG1094" i="1" s="1"/>
  <c r="AG1095" i="1" a="1"/>
  <c r="AG1095" i="1" s="1"/>
  <c r="AG1096" i="1" a="1"/>
  <c r="AG1096" i="1" s="1"/>
  <c r="AG1097" i="1" a="1"/>
  <c r="AG1097" i="1" s="1"/>
  <c r="AG1098" i="1" a="1"/>
  <c r="AG1098" i="1" s="1"/>
  <c r="AG1099" i="1" a="1"/>
  <c r="AG1099" i="1" s="1"/>
  <c r="AG1100" i="1" a="1"/>
  <c r="AG1100" i="1"/>
  <c r="AG1101" i="1" a="1"/>
  <c r="AG1101" i="1" s="1"/>
  <c r="AG1102" i="1" a="1"/>
  <c r="AG1102" i="1" s="1"/>
  <c r="AG1103" i="1" a="1"/>
  <c r="AG1103" i="1" s="1"/>
  <c r="AG1104" i="1" a="1"/>
  <c r="AG1104" i="1" s="1"/>
  <c r="AG1105" i="1" a="1"/>
  <c r="AG1105" i="1" s="1"/>
  <c r="AG1106" i="1" a="1"/>
  <c r="AG1106" i="1" s="1"/>
  <c r="AG1107" i="1" a="1"/>
  <c r="AG1107" i="1" s="1"/>
  <c r="AG1108" i="1" a="1"/>
  <c r="AG1108" i="1" s="1"/>
  <c r="AG1109" i="1" a="1"/>
  <c r="AG1109" i="1" s="1"/>
  <c r="AG1110" i="1" a="1"/>
  <c r="AG1110" i="1" s="1"/>
  <c r="AG1111" i="1" a="1"/>
  <c r="AG1111" i="1" s="1"/>
  <c r="AG1112" i="1" a="1"/>
  <c r="AG1112" i="1" s="1"/>
  <c r="AG1113" i="1" a="1"/>
  <c r="AG1113" i="1" s="1"/>
  <c r="AG1114" i="1" a="1"/>
  <c r="AG1114" i="1" s="1"/>
  <c r="AG1115" i="1" a="1"/>
  <c r="AG1115" i="1" s="1"/>
  <c r="AG1116" i="1" a="1"/>
  <c r="AG1116" i="1"/>
  <c r="AG1117" i="1" a="1"/>
  <c r="AG1117" i="1" s="1"/>
  <c r="AG1118" i="1" a="1"/>
  <c r="AG1118" i="1" s="1"/>
  <c r="AG1119" i="1" a="1"/>
  <c r="AG1119" i="1" s="1"/>
  <c r="AG1120" i="1" a="1"/>
  <c r="AG1120" i="1" s="1"/>
  <c r="AG1121" i="1" a="1"/>
  <c r="AG1121" i="1" s="1"/>
  <c r="AG1122" i="1" a="1"/>
  <c r="AG1122" i="1" s="1"/>
  <c r="AG1123" i="1" a="1"/>
  <c r="AG1123" i="1" s="1"/>
  <c r="AG1124" i="1" a="1"/>
  <c r="AG1124" i="1" s="1"/>
  <c r="AG1125" i="1" a="1"/>
  <c r="AG1125" i="1" s="1"/>
  <c r="AG1126" i="1" a="1"/>
  <c r="AG1126" i="1" s="1"/>
  <c r="AG1127" i="1" a="1"/>
  <c r="AG1127" i="1" s="1"/>
  <c r="AG1128" i="1" a="1"/>
  <c r="AG1128" i="1" s="1"/>
  <c r="AG1129" i="1" a="1"/>
  <c r="AG1129" i="1" s="1"/>
  <c r="AG1130" i="1" a="1"/>
  <c r="AG1130" i="1" s="1"/>
  <c r="AG1131" i="1" a="1"/>
  <c r="AG1131" i="1" s="1"/>
  <c r="AG1132" i="1" a="1"/>
  <c r="AG1132" i="1"/>
  <c r="AG1133" i="1" a="1"/>
  <c r="AG1133" i="1" s="1"/>
  <c r="AG1134" i="1" a="1"/>
  <c r="AG1134" i="1" s="1"/>
  <c r="AG1135" i="1" a="1"/>
  <c r="AG1135" i="1" s="1"/>
  <c r="AG1136" i="1" a="1"/>
  <c r="AG1136" i="1" s="1"/>
  <c r="AG1137" i="1" a="1"/>
  <c r="AG1137" i="1" s="1"/>
  <c r="AG1138" i="1" a="1"/>
  <c r="AG1138" i="1" s="1"/>
  <c r="AG1139" i="1" a="1"/>
  <c r="AG1139" i="1" s="1"/>
  <c r="AG1140" i="1" a="1"/>
  <c r="AG1140" i="1" s="1"/>
  <c r="AG1141" i="1" a="1"/>
  <c r="AG1141" i="1" s="1"/>
  <c r="AG1142" i="1" a="1"/>
  <c r="AG1142" i="1" s="1"/>
  <c r="AG1143" i="1" a="1"/>
  <c r="AG1143" i="1" s="1"/>
  <c r="AG1144" i="1" a="1"/>
  <c r="AG1144" i="1" s="1"/>
  <c r="AG1145" i="1" a="1"/>
  <c r="AG1145" i="1" s="1"/>
  <c r="AG1146" i="1" a="1"/>
  <c r="AG1146" i="1" s="1"/>
  <c r="AG1147" i="1" a="1"/>
  <c r="AG1147" i="1" s="1"/>
  <c r="AG1148" i="1" a="1"/>
  <c r="AG1148" i="1" s="1"/>
  <c r="AG1149" i="1" a="1"/>
  <c r="AG1149" i="1" s="1"/>
  <c r="AG1150" i="1" a="1"/>
  <c r="AG1150" i="1" s="1"/>
  <c r="AG1151" i="1" a="1"/>
  <c r="AG1151" i="1" s="1"/>
  <c r="AG1152" i="1" a="1"/>
  <c r="AG1152" i="1" s="1"/>
  <c r="AG1153" i="1" a="1"/>
  <c r="AG1153" i="1" s="1"/>
  <c r="AG1154" i="1" a="1"/>
  <c r="AG1154" i="1" s="1"/>
  <c r="AG1155" i="1" a="1"/>
  <c r="AG1155" i="1" s="1"/>
  <c r="AG1156" i="1" a="1"/>
  <c r="AG1156" i="1" s="1"/>
  <c r="AG1157" i="1" a="1"/>
  <c r="AG1157" i="1" s="1"/>
  <c r="AG1158" i="1" a="1"/>
  <c r="AG1158" i="1" s="1"/>
  <c r="AG1159" i="1" a="1"/>
  <c r="AG1159" i="1" s="1"/>
  <c r="AG1160" i="1" a="1"/>
  <c r="AG1160" i="1"/>
  <c r="AG1161" i="1" a="1"/>
  <c r="AG1161" i="1" s="1"/>
  <c r="AG1162" i="1" a="1"/>
  <c r="AG1162" i="1" s="1"/>
  <c r="AG1163" i="1" a="1"/>
  <c r="AG1163" i="1" s="1"/>
  <c r="AG1164" i="1" a="1"/>
  <c r="AG1164" i="1" s="1"/>
  <c r="AG1165" i="1" a="1"/>
  <c r="AG1165" i="1" s="1"/>
  <c r="AG1166" i="1" a="1"/>
  <c r="AG1166" i="1" s="1"/>
  <c r="AG1167" i="1" a="1"/>
  <c r="AG1167" i="1" s="1"/>
  <c r="AG1168" i="1" a="1"/>
  <c r="AG1168" i="1" s="1"/>
  <c r="AG1169" i="1" a="1"/>
  <c r="AG1169" i="1" s="1"/>
  <c r="AG1170" i="1" a="1"/>
  <c r="AG1170" i="1" s="1"/>
  <c r="AG1171" i="1" a="1"/>
  <c r="AG1171" i="1" s="1"/>
  <c r="AG1172" i="1" a="1"/>
  <c r="AG1172" i="1"/>
  <c r="AG1173" i="1" a="1"/>
  <c r="AG1173" i="1" s="1"/>
  <c r="AG1174" i="1" a="1"/>
  <c r="AG1174" i="1" s="1"/>
  <c r="AG1175" i="1" a="1"/>
  <c r="AG1175" i="1" s="1"/>
  <c r="AG1176" i="1" a="1"/>
  <c r="AG1176" i="1"/>
  <c r="AG1177" i="1" a="1"/>
  <c r="AG1177" i="1" s="1"/>
  <c r="AG1178" i="1" a="1"/>
  <c r="AG1178" i="1" s="1"/>
  <c r="AG1179" i="1" a="1"/>
  <c r="AG1179" i="1" s="1"/>
  <c r="AG1180" i="1" a="1"/>
  <c r="AG1180" i="1"/>
  <c r="AG1181" i="1" a="1"/>
  <c r="AG1181" i="1" s="1"/>
  <c r="AG1182" i="1" a="1"/>
  <c r="AG1182" i="1" s="1"/>
  <c r="AG1183" i="1" a="1"/>
  <c r="AG1183" i="1" s="1"/>
  <c r="AG1184" i="1" a="1"/>
  <c r="AG1184" i="1"/>
  <c r="AG1185" i="1" a="1"/>
  <c r="AG1185" i="1" s="1"/>
  <c r="AG1186" i="1" a="1"/>
  <c r="AG1186" i="1" s="1"/>
  <c r="AG1187" i="1" a="1"/>
  <c r="AG1187" i="1" s="1"/>
  <c r="AG1188" i="1" a="1"/>
  <c r="AG1188" i="1"/>
  <c r="AG1189" i="1" a="1"/>
  <c r="AG1189" i="1" s="1"/>
  <c r="AG1190" i="1" a="1"/>
  <c r="AG1190" i="1" s="1"/>
  <c r="AG1191" i="1" a="1"/>
  <c r="AG1191" i="1" s="1"/>
  <c r="AG1192" i="1" a="1"/>
  <c r="AG1192" i="1"/>
  <c r="AG1193" i="1" a="1"/>
  <c r="AG1193" i="1" s="1"/>
  <c r="AG1194" i="1" a="1"/>
  <c r="AG1194" i="1" s="1"/>
  <c r="AG1195" i="1" a="1"/>
  <c r="AG1195" i="1" s="1"/>
  <c r="AG1196" i="1" a="1"/>
  <c r="AG1196" i="1"/>
  <c r="AG1197" i="1" a="1"/>
  <c r="AG1197" i="1" s="1"/>
  <c r="AG1198" i="1" a="1"/>
  <c r="AG1198" i="1" s="1"/>
  <c r="AG1199" i="1" a="1"/>
  <c r="AG1199" i="1" s="1"/>
  <c r="AG1200" i="1" a="1"/>
  <c r="AG1200" i="1"/>
  <c r="AG1201" i="1" a="1"/>
  <c r="AG1201" i="1" s="1"/>
  <c r="AG1202" i="1" a="1"/>
  <c r="AG1202" i="1" s="1"/>
  <c r="AG1203" i="1" a="1"/>
  <c r="AG1203" i="1" s="1"/>
  <c r="AG1204" i="1" a="1"/>
  <c r="AG1204" i="1"/>
  <c r="AG1205" i="1" a="1"/>
  <c r="AG1205" i="1" s="1"/>
  <c r="AG1206" i="1" a="1"/>
  <c r="AG1206" i="1" s="1"/>
  <c r="AG1207" i="1" a="1"/>
  <c r="AG1207" i="1" s="1"/>
  <c r="AG1208" i="1" a="1"/>
  <c r="AG1208" i="1"/>
  <c r="AG1209" i="1" a="1"/>
  <c r="AG1209" i="1" s="1"/>
  <c r="AG1210" i="1" a="1"/>
  <c r="AG1210" i="1" s="1"/>
  <c r="AG1211" i="1" a="1"/>
  <c r="AG1211" i="1" s="1"/>
  <c r="AG1212" i="1" a="1"/>
  <c r="AG1212" i="1" s="1"/>
  <c r="AG1213" i="1" a="1"/>
  <c r="AG1213" i="1" s="1"/>
  <c r="AG1214" i="1" a="1"/>
  <c r="AG1214" i="1" s="1"/>
  <c r="AG1215" i="1" a="1"/>
  <c r="AG1215" i="1" s="1"/>
  <c r="AG1216" i="1" a="1"/>
  <c r="AG1216" i="1"/>
  <c r="AG1217" i="1" a="1"/>
  <c r="AG1217" i="1" s="1"/>
  <c r="AG1218" i="1" a="1"/>
  <c r="AG1218" i="1" s="1"/>
  <c r="AG1219" i="1" a="1"/>
  <c r="AG1219" i="1" s="1"/>
  <c r="AG1220" i="1" a="1"/>
  <c r="AG1220" i="1" s="1"/>
  <c r="AG1221" i="1" a="1"/>
  <c r="AG1221" i="1" s="1"/>
  <c r="AG1222" i="1" a="1"/>
  <c r="AG1222" i="1" s="1"/>
  <c r="AG1223" i="1" a="1"/>
  <c r="AG1223" i="1" s="1"/>
  <c r="AG1224" i="1" a="1"/>
  <c r="AG1224" i="1"/>
  <c r="AG1225" i="1" a="1"/>
  <c r="AG1225" i="1" s="1"/>
  <c r="AG1226" i="1" a="1"/>
  <c r="AG1226" i="1" s="1"/>
  <c r="AG1227" i="1" a="1"/>
  <c r="AG1227" i="1" s="1"/>
  <c r="AG1228" i="1" a="1"/>
  <c r="AG1228" i="1" s="1"/>
  <c r="AG1229" i="1" a="1"/>
  <c r="AG1229" i="1" s="1"/>
  <c r="AG1230" i="1" a="1"/>
  <c r="AG1230" i="1" s="1"/>
  <c r="AG1231" i="1" a="1"/>
  <c r="AG1231" i="1" s="1"/>
  <c r="AG1232" i="1" a="1"/>
  <c r="AG1232" i="1"/>
  <c r="AG1233" i="1" a="1"/>
  <c r="AG1233" i="1" s="1"/>
  <c r="AG1234" i="1" a="1"/>
  <c r="AG1234" i="1" s="1"/>
  <c r="AG1235" i="1" a="1"/>
  <c r="AG1235" i="1" s="1"/>
  <c r="AG1236" i="1" a="1"/>
  <c r="AG1236" i="1" s="1"/>
  <c r="AG1237" i="1" a="1"/>
  <c r="AG1237" i="1" s="1"/>
  <c r="AG1238" i="1" a="1"/>
  <c r="AG1238" i="1" s="1"/>
  <c r="AG1239" i="1" a="1"/>
  <c r="AG1239" i="1" s="1"/>
  <c r="AG1240" i="1" a="1"/>
  <c r="AG1240" i="1"/>
  <c r="AG1241" i="1" a="1"/>
  <c r="AG1241" i="1" s="1"/>
  <c r="AG1242" i="1" a="1"/>
  <c r="AG1242" i="1" s="1"/>
  <c r="AG1243" i="1" a="1"/>
  <c r="AG1243" i="1" s="1"/>
  <c r="AG1244" i="1" a="1"/>
  <c r="AG1244" i="1" s="1"/>
  <c r="AG1245" i="1" a="1"/>
  <c r="AG1245" i="1" s="1"/>
  <c r="AG1246" i="1" a="1"/>
  <c r="AG1246" i="1" s="1"/>
  <c r="AG1247" i="1" a="1"/>
  <c r="AG1247" i="1" s="1"/>
  <c r="AG1248" i="1" a="1"/>
  <c r="AG1248" i="1"/>
  <c r="AG1249" i="1" a="1"/>
  <c r="AG1249" i="1" s="1"/>
  <c r="AG1250" i="1" a="1"/>
  <c r="AG1250" i="1" s="1"/>
  <c r="AG1251" i="1" a="1"/>
  <c r="AG1251" i="1" s="1"/>
  <c r="AG1252" i="1" a="1"/>
  <c r="AG1252" i="1" s="1"/>
  <c r="AG1253" i="1" a="1"/>
  <c r="AG1253" i="1" s="1"/>
  <c r="AG1254" i="1" a="1"/>
  <c r="AG1254" i="1" s="1"/>
  <c r="AG1255" i="1" a="1"/>
  <c r="AG1255" i="1" s="1"/>
  <c r="AG1256" i="1" a="1"/>
  <c r="AG1256" i="1" s="1"/>
  <c r="AG1257" i="1" a="1"/>
  <c r="AG1257" i="1" s="1"/>
  <c r="AG1258" i="1" a="1"/>
  <c r="AG1258" i="1" s="1"/>
  <c r="AG1259" i="1" a="1"/>
  <c r="AG1259" i="1" s="1"/>
  <c r="AG1260" i="1" a="1"/>
  <c r="AG1260" i="1" s="1"/>
  <c r="AG1261" i="1" a="1"/>
  <c r="AG1261" i="1" s="1"/>
  <c r="AG1262" i="1" a="1"/>
  <c r="AG1262" i="1" s="1"/>
  <c r="AG1263" i="1" a="1"/>
  <c r="AG1263" i="1" s="1"/>
  <c r="AG1264" i="1" a="1"/>
  <c r="AG1264" i="1"/>
  <c r="AG1265" i="1" a="1"/>
  <c r="AG1265" i="1" s="1"/>
  <c r="AG1266" i="1" a="1"/>
  <c r="AG1266" i="1" s="1"/>
  <c r="AG1267" i="1" a="1"/>
  <c r="AG1267" i="1" s="1"/>
  <c r="AG1268" i="1" a="1"/>
  <c r="AG1268" i="1" s="1"/>
  <c r="AG1269" i="1" a="1"/>
  <c r="AG1269" i="1" s="1"/>
  <c r="AG1270" i="1" a="1"/>
  <c r="AG1270" i="1" s="1"/>
  <c r="AG1271" i="1" a="1"/>
  <c r="AG1271" i="1" s="1"/>
  <c r="AG1272" i="1" a="1"/>
  <c r="AG1272" i="1"/>
  <c r="AG1273" i="1" a="1"/>
  <c r="AG1273" i="1" s="1"/>
  <c r="AG1274" i="1" a="1"/>
  <c r="AG1274" i="1" s="1"/>
  <c r="AG1275" i="1" a="1"/>
  <c r="AG1275" i="1" s="1"/>
  <c r="AG1276" i="1" a="1"/>
  <c r="AG1276" i="1" s="1"/>
  <c r="AG1277" i="1" a="1"/>
  <c r="AG1277" i="1" s="1"/>
  <c r="AG1278" i="1" a="1"/>
  <c r="AG1278" i="1" s="1"/>
  <c r="AG1279" i="1" a="1"/>
  <c r="AG1279" i="1" s="1"/>
  <c r="AG1280" i="1" a="1"/>
  <c r="AG1280" i="1"/>
  <c r="AG1281" i="1" a="1"/>
  <c r="AG1281" i="1" s="1"/>
  <c r="AG1282" i="1" a="1"/>
  <c r="AG1282" i="1" s="1"/>
  <c r="AG1283" i="1" a="1"/>
  <c r="AG1283" i="1" s="1"/>
  <c r="AG1284" i="1" a="1"/>
  <c r="AG1284" i="1" s="1"/>
  <c r="AG1285" i="1" a="1"/>
  <c r="AG1285" i="1" s="1"/>
  <c r="AG1286" i="1" a="1"/>
  <c r="AG1286" i="1" s="1"/>
  <c r="AG1287" i="1" a="1"/>
  <c r="AG1287" i="1" s="1"/>
  <c r="AG1288" i="1" a="1"/>
  <c r="AG1288" i="1" s="1"/>
  <c r="AG1289" i="1" a="1"/>
  <c r="AG1289" i="1" s="1"/>
  <c r="AG1290" i="1" a="1"/>
  <c r="AG1290" i="1" s="1"/>
  <c r="AG1291" i="1" a="1"/>
  <c r="AG1291" i="1" s="1"/>
  <c r="AG1292" i="1" a="1"/>
  <c r="AG1292" i="1" s="1"/>
  <c r="AG1293" i="1" a="1"/>
  <c r="AG1293" i="1" s="1"/>
  <c r="AG1294" i="1" a="1"/>
  <c r="AG1294" i="1" s="1"/>
  <c r="AG1295" i="1" a="1"/>
  <c r="AG1295" i="1" s="1"/>
  <c r="AG1296" i="1" a="1"/>
  <c r="AG1296" i="1" s="1"/>
  <c r="AG1297" i="1" a="1"/>
  <c r="AG1297" i="1" s="1"/>
  <c r="AG1298" i="1" a="1"/>
  <c r="AG1298" i="1" s="1"/>
  <c r="AG1299" i="1" a="1"/>
  <c r="AG1299" i="1" s="1"/>
  <c r="AG1300" i="1" a="1"/>
  <c r="AG1300" i="1"/>
  <c r="AG1301" i="1" a="1"/>
  <c r="AG1301" i="1" s="1"/>
  <c r="AG1302" i="1" a="1"/>
  <c r="AG1302" i="1" s="1"/>
  <c r="AG1303" i="1" a="1"/>
  <c r="AG1303" i="1" s="1"/>
  <c r="AG1304" i="1" a="1"/>
  <c r="AG1304" i="1" s="1"/>
  <c r="AG1305" i="1" a="1"/>
  <c r="AG1305" i="1" s="1"/>
  <c r="AG1306" i="1" a="1"/>
  <c r="AG1306" i="1" s="1"/>
  <c r="AG1307" i="1" a="1"/>
  <c r="AG1307" i="1" s="1"/>
  <c r="AG1308" i="1" a="1"/>
  <c r="AG1308" i="1"/>
  <c r="AG1309" i="1" a="1"/>
  <c r="AG1309" i="1" s="1"/>
  <c r="AG1310" i="1" a="1"/>
  <c r="AG1310" i="1" s="1"/>
  <c r="AG1311" i="1" a="1"/>
  <c r="AG1311" i="1" s="1"/>
  <c r="AG1312" i="1" a="1"/>
  <c r="AG1312" i="1" s="1"/>
  <c r="AG1313" i="1" a="1"/>
  <c r="AG1313" i="1" s="1"/>
  <c r="AG1314" i="1" a="1"/>
  <c r="AG1314" i="1" s="1"/>
  <c r="AG1315" i="1" a="1"/>
  <c r="AG1315" i="1" s="1"/>
  <c r="AG1316" i="1" a="1"/>
  <c r="AG1316" i="1" s="1"/>
  <c r="AG1317" i="1" a="1"/>
  <c r="AG1317" i="1" s="1"/>
  <c r="AG1318" i="1" a="1"/>
  <c r="AG1318" i="1" s="1"/>
  <c r="AG1319" i="1" a="1"/>
  <c r="AG1319" i="1" s="1"/>
  <c r="AG1320" i="1" a="1"/>
  <c r="AG1320" i="1" s="1"/>
  <c r="AG1321" i="1" a="1"/>
  <c r="AG1321" i="1" s="1"/>
  <c r="AG1322" i="1" a="1"/>
  <c r="AG1322" i="1" s="1"/>
  <c r="AG1323" i="1" a="1"/>
  <c r="AG1323" i="1" s="1"/>
  <c r="AG1324" i="1" a="1"/>
  <c r="AG1324" i="1" s="1"/>
  <c r="AG1325" i="1" a="1"/>
  <c r="AG1325" i="1" s="1"/>
  <c r="AG1326" i="1" a="1"/>
  <c r="AG1326" i="1" s="1"/>
  <c r="AG1327" i="1" a="1"/>
  <c r="AG1327" i="1" s="1"/>
  <c r="AG1328" i="1" a="1"/>
  <c r="AG1328" i="1"/>
  <c r="AG1329" i="1" a="1"/>
  <c r="AG1329" i="1" s="1"/>
  <c r="AG1330" i="1" a="1"/>
  <c r="AG1330" i="1" s="1"/>
  <c r="AG1331" i="1" a="1"/>
  <c r="AG1331" i="1" s="1"/>
  <c r="AG1332" i="1" a="1"/>
  <c r="AG1332" i="1" s="1"/>
  <c r="AG1333" i="1" a="1"/>
  <c r="AG1333" i="1" s="1"/>
  <c r="AG1334" i="1" a="1"/>
  <c r="AG1334" i="1" s="1"/>
  <c r="AG1335" i="1" a="1"/>
  <c r="AG1335" i="1" s="1"/>
  <c r="AG1336" i="1" a="1"/>
  <c r="AG1336" i="1"/>
  <c r="AG1337" i="1" a="1"/>
  <c r="AG1337" i="1" s="1"/>
  <c r="AG1338" i="1" a="1"/>
  <c r="AG1338" i="1" s="1"/>
  <c r="AG1339" i="1" a="1"/>
  <c r="AG1339" i="1" s="1"/>
  <c r="AG1340" i="1" a="1"/>
  <c r="AG1340" i="1" s="1"/>
  <c r="AG1341" i="1" a="1"/>
  <c r="AG1341" i="1" s="1"/>
  <c r="AG1342" i="1" a="1"/>
  <c r="AG1342" i="1" s="1"/>
  <c r="AG1343" i="1" a="1"/>
  <c r="AG1343" i="1" s="1"/>
  <c r="AG1344" i="1" a="1"/>
  <c r="AG1344" i="1" s="1"/>
  <c r="AG1345" i="1" a="1"/>
  <c r="AG1345" i="1" s="1"/>
  <c r="AG1346" i="1" a="1"/>
  <c r="AG1346" i="1" s="1"/>
  <c r="AG1347" i="1" a="1"/>
  <c r="AG1347" i="1" s="1"/>
  <c r="AG1348" i="1" a="1"/>
  <c r="AG1348" i="1" s="1"/>
  <c r="AG1349" i="1" a="1"/>
  <c r="AG1349" i="1" s="1"/>
  <c r="AG1350" i="1" a="1"/>
  <c r="AG1350" i="1" s="1"/>
  <c r="AG1351" i="1" a="1"/>
  <c r="AG1351" i="1" s="1"/>
  <c r="AG1352" i="1" a="1"/>
  <c r="AG1352" i="1" s="1"/>
  <c r="AG1353" i="1" a="1"/>
  <c r="AG1353" i="1" s="1"/>
  <c r="AG1354" i="1" a="1"/>
  <c r="AG1354" i="1" s="1"/>
  <c r="AG1355" i="1" a="1"/>
  <c r="AG1355" i="1" s="1"/>
  <c r="AG1356" i="1" a="1"/>
  <c r="AG1356" i="1" s="1"/>
  <c r="AG1357" i="1" a="1"/>
  <c r="AG1357" i="1" s="1"/>
  <c r="AG1358" i="1" a="1"/>
  <c r="AG1358" i="1" s="1"/>
  <c r="AG1359" i="1" a="1"/>
  <c r="AG1359" i="1" s="1"/>
  <c r="AG1360" i="1" a="1"/>
  <c r="AG1360" i="1"/>
  <c r="AG1361" i="1" a="1"/>
  <c r="AG1361" i="1" s="1"/>
  <c r="AG1362" i="1" a="1"/>
  <c r="AG1362" i="1" s="1"/>
  <c r="AG1363" i="1" a="1"/>
  <c r="AG1363" i="1" s="1"/>
  <c r="AG1364" i="1" a="1"/>
  <c r="AG1364" i="1" s="1"/>
  <c r="AG1365" i="1" a="1"/>
  <c r="AG1365" i="1" s="1"/>
  <c r="AG1366" i="1" a="1"/>
  <c r="AG1366" i="1" s="1"/>
  <c r="AG1367" i="1" a="1"/>
  <c r="AG1367" i="1" s="1"/>
  <c r="AG1368" i="1" a="1"/>
  <c r="AG1368" i="1"/>
  <c r="AG1369" i="1" a="1"/>
  <c r="AG1369" i="1" s="1"/>
  <c r="AG1370" i="1" a="1"/>
  <c r="AG1370" i="1" s="1"/>
  <c r="AG1371" i="1" a="1"/>
  <c r="AG1371" i="1" s="1"/>
  <c r="AG1372" i="1" a="1"/>
  <c r="AG1372" i="1" s="1"/>
  <c r="AG1373" i="1" a="1"/>
  <c r="AG1373" i="1" s="1"/>
  <c r="AG1374" i="1" a="1"/>
  <c r="AG1374" i="1" s="1"/>
  <c r="AG1375" i="1" a="1"/>
  <c r="AG1375" i="1" s="1"/>
  <c r="AG1376" i="1" a="1"/>
  <c r="AG1376" i="1" s="1"/>
  <c r="AG1377" i="1" a="1"/>
  <c r="AG1377" i="1" s="1"/>
  <c r="AG1378" i="1" a="1"/>
  <c r="AG1378" i="1" s="1"/>
  <c r="AG1379" i="1" a="1"/>
  <c r="AG1379" i="1" s="1"/>
  <c r="AG1380" i="1" a="1"/>
  <c r="AG1380" i="1" s="1"/>
  <c r="AG1381" i="1" a="1"/>
  <c r="AG1381" i="1" s="1"/>
  <c r="AG1382" i="1" a="1"/>
  <c r="AG1382" i="1" s="1"/>
  <c r="AG1383" i="1" a="1"/>
  <c r="AG1383" i="1" s="1"/>
  <c r="AG1384" i="1" a="1"/>
  <c r="AG1384" i="1" s="1"/>
  <c r="AG1385" i="1" a="1"/>
  <c r="AG1385" i="1" s="1"/>
  <c r="AG1386" i="1" a="1"/>
  <c r="AG1386" i="1" s="1"/>
  <c r="AG1387" i="1" a="1"/>
  <c r="AG1387" i="1" s="1"/>
  <c r="AG1388" i="1" a="1"/>
  <c r="AG1388" i="1" s="1"/>
  <c r="AG1389" i="1" a="1"/>
  <c r="AG1389" i="1" s="1"/>
  <c r="AG1390" i="1" a="1"/>
  <c r="AG1390" i="1" s="1"/>
  <c r="AG1391" i="1" a="1"/>
  <c r="AG1391" i="1" s="1"/>
  <c r="AG1392" i="1" a="1"/>
  <c r="AG1392" i="1"/>
  <c r="AG1393" i="1" a="1"/>
  <c r="AG1393" i="1" s="1"/>
  <c r="AG1394" i="1" a="1"/>
  <c r="AG1394" i="1" s="1"/>
  <c r="AG1395" i="1" a="1"/>
  <c r="AG1395" i="1" s="1"/>
  <c r="AG1396" i="1" a="1"/>
  <c r="AG1396" i="1" s="1"/>
  <c r="AG1397" i="1" a="1"/>
  <c r="AG1397" i="1" s="1"/>
  <c r="AG1398" i="1" a="1"/>
  <c r="AG1398" i="1" s="1"/>
  <c r="AG1399" i="1" a="1"/>
  <c r="AG1399" i="1" s="1"/>
  <c r="AG1400" i="1" a="1"/>
  <c r="AG1400" i="1"/>
  <c r="AG1401" i="1" a="1"/>
  <c r="AG1401" i="1" s="1"/>
  <c r="AG1402" i="1" a="1"/>
  <c r="AG1402" i="1" s="1"/>
  <c r="AG1403" i="1" a="1"/>
  <c r="AG1403" i="1" s="1"/>
  <c r="AG1404" i="1" a="1"/>
  <c r="AG1404" i="1" s="1"/>
  <c r="AG1405" i="1" a="1"/>
  <c r="AG1405" i="1" s="1"/>
  <c r="AG1406" i="1" a="1"/>
  <c r="AG1406" i="1" s="1"/>
  <c r="AG1407" i="1" a="1"/>
  <c r="AG1407" i="1" s="1"/>
  <c r="AG1408" i="1" a="1"/>
  <c r="AG1408" i="1" s="1"/>
  <c r="AG1409" i="1" a="1"/>
  <c r="AG1409" i="1" s="1"/>
  <c r="AG1410" i="1" a="1"/>
  <c r="AG1410" i="1" s="1"/>
  <c r="AG1411" i="1" a="1"/>
  <c r="AG1411" i="1" s="1"/>
  <c r="AG1412" i="1" a="1"/>
  <c r="AG1412" i="1" s="1"/>
  <c r="AG1413" i="1" a="1"/>
  <c r="AG1413" i="1" s="1"/>
  <c r="AG1414" i="1" a="1"/>
  <c r="AG1414" i="1" s="1"/>
  <c r="AG1415" i="1" a="1"/>
  <c r="AG1415" i="1" s="1"/>
  <c r="AG1416" i="1" a="1"/>
  <c r="AG1416" i="1" s="1"/>
  <c r="AG1417" i="1" a="1"/>
  <c r="AG1417" i="1" s="1"/>
  <c r="AG1418" i="1" a="1"/>
  <c r="AG1418" i="1" s="1"/>
  <c r="AG1419" i="1" a="1"/>
  <c r="AG1419" i="1" s="1"/>
  <c r="AG1420" i="1" a="1"/>
  <c r="AG1420" i="1" s="1"/>
  <c r="AG1421" i="1" a="1"/>
  <c r="AG1421" i="1" s="1"/>
  <c r="AG1422" i="1" a="1"/>
  <c r="AG1422" i="1" s="1"/>
  <c r="AG1423" i="1" a="1"/>
  <c r="AG1423" i="1" s="1"/>
  <c r="AG1424" i="1" a="1"/>
  <c r="AG1424" i="1"/>
  <c r="AG1425" i="1" a="1"/>
  <c r="AG1425" i="1" s="1"/>
  <c r="AG1426" i="1" a="1"/>
  <c r="AG1426" i="1" s="1"/>
  <c r="AG1427" i="1" a="1"/>
  <c r="AG1427" i="1" s="1"/>
  <c r="AG1428" i="1" a="1"/>
  <c r="AG1428" i="1" s="1"/>
  <c r="AG1429" i="1" a="1"/>
  <c r="AG1429" i="1" s="1"/>
  <c r="AG1430" i="1" a="1"/>
  <c r="AG1430" i="1" s="1"/>
  <c r="AG1431" i="1" a="1"/>
  <c r="AG1431" i="1" s="1"/>
  <c r="AG1432" i="1" a="1"/>
  <c r="AG1432" i="1"/>
  <c r="AG1433" i="1" a="1"/>
  <c r="AG1433" i="1" s="1"/>
  <c r="AG1434" i="1" a="1"/>
  <c r="AG1434" i="1" s="1"/>
  <c r="AG1435" i="1" a="1"/>
  <c r="AG1435" i="1" s="1"/>
  <c r="AG1436" i="1" a="1"/>
  <c r="AG1436" i="1" s="1"/>
  <c r="AG1437" i="1" a="1"/>
  <c r="AG1437" i="1" s="1"/>
  <c r="AG1438" i="1" a="1"/>
  <c r="AG1438" i="1" s="1"/>
  <c r="AG1439" i="1" a="1"/>
  <c r="AG1439" i="1" s="1"/>
  <c r="AG1440" i="1" a="1"/>
  <c r="AG1440" i="1" s="1"/>
  <c r="AG1441" i="1" a="1"/>
  <c r="AG1441" i="1" s="1"/>
  <c r="AG1442" i="1" a="1"/>
  <c r="AG1442" i="1" s="1"/>
  <c r="AG1443" i="1" a="1"/>
  <c r="AG1443" i="1" s="1"/>
  <c r="AG1444" i="1" a="1"/>
  <c r="AG1444" i="1" s="1"/>
  <c r="AG1445" i="1" a="1"/>
  <c r="AG1445" i="1" s="1"/>
  <c r="AG1446" i="1" a="1"/>
  <c r="AG1446" i="1" s="1"/>
  <c r="AG1447" i="1" a="1"/>
  <c r="AG1447" i="1" s="1"/>
  <c r="AG1448" i="1" a="1"/>
  <c r="AG1448" i="1" s="1"/>
  <c r="AG1449" i="1" a="1"/>
  <c r="AG1449" i="1" s="1"/>
  <c r="AG1450" i="1" a="1"/>
  <c r="AG1450" i="1" s="1"/>
  <c r="AG1451" i="1" a="1"/>
  <c r="AG1451" i="1" s="1"/>
  <c r="AG1452" i="1" a="1"/>
  <c r="AG1452" i="1" s="1"/>
  <c r="AG1453" i="1" a="1"/>
  <c r="AG1453" i="1" s="1"/>
  <c r="AG1454" i="1" a="1"/>
  <c r="AG1454" i="1" s="1"/>
  <c r="AG1455" i="1" a="1"/>
  <c r="AG1455" i="1" s="1"/>
  <c r="AG1456" i="1" a="1"/>
  <c r="AG1456" i="1"/>
  <c r="AG1457" i="1" a="1"/>
  <c r="AG1457" i="1" s="1"/>
  <c r="AG1458" i="1" a="1"/>
  <c r="AG1458" i="1" s="1"/>
  <c r="AG1459" i="1" a="1"/>
  <c r="AG1459" i="1" s="1"/>
  <c r="AG1460" i="1" a="1"/>
  <c r="AG1460" i="1" s="1"/>
  <c r="AG1461" i="1" a="1"/>
  <c r="AG1461" i="1" s="1"/>
  <c r="AG1462" i="1" a="1"/>
  <c r="AG1462" i="1" s="1"/>
  <c r="AG1463" i="1" a="1"/>
  <c r="AG1463" i="1" s="1"/>
  <c r="AG1464" i="1" a="1"/>
  <c r="AG1464" i="1"/>
  <c r="AG1465" i="1" a="1"/>
  <c r="AG1465" i="1"/>
  <c r="AG1466" i="1" a="1"/>
  <c r="AG1466" i="1" s="1"/>
  <c r="AG1467" i="1" a="1"/>
  <c r="AG1467" i="1" s="1"/>
  <c r="AG1468" i="1" a="1"/>
  <c r="AG1468" i="1" s="1"/>
  <c r="AG1469" i="1" a="1"/>
  <c r="AG1469" i="1" s="1"/>
  <c r="AG1470" i="1" a="1"/>
  <c r="AG1470" i="1" s="1"/>
  <c r="AG1471" i="1" a="1"/>
  <c r="AG1471" i="1"/>
  <c r="AG2" i="1" a="1"/>
  <c r="A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<sst xmlns="http://schemas.openxmlformats.org/spreadsheetml/2006/main" count="11834" uniqueCount="76">
  <si>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</si>
  <si>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</si>
  <si>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</si>
  <si>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</si>
  <si>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</si>
  <si>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</si>
  <si>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</si>
  <si>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</si>
  <si>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</si>
  <si>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</si>
  <si>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</si>
  <si>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</si>
  <si>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</si>
  <si>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</si>
  <si>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</si>
  <si>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</si>
  <si>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</si>
  <si>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</si>
  <si>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</si>
  <si>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</si>
  <si>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</si>
  <si>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</si>
  <si>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</si>
  <si>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</si>
  <si>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</si>
  <si>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</si>
  <si>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</si>
  <si>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</si>
  <si>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</si>
  <si>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</si>
  <si>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</si>
  <si>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</si>
  <si>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</si>
  <si>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</si>
  <si>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</si>
  <si>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</si>
  <si>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</si>
  <si>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</si>
  <si>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</si>
  <si>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</si>
  <si>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</si>
  <si>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</si>
  <si>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</si>
  <si>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</si>
  <si>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</si>
  <si>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</si>
  <si>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</si>
  <si>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</si>
  <si>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</si>
  <si>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</si>
  <si>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</si>
  <si>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</si>
  <si>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</si>
  <si>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</si>
  <si>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</si>
  <si>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</si>
  <si>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</si>
  <si>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</si>
  <si>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</si>
  <si>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people who left</t>
  </si>
  <si>
    <t>Left from sales</t>
  </si>
  <si>
    <t>Total employees</t>
  </si>
  <si>
    <t>Attrition Rate</t>
  </si>
  <si>
    <t>Left doing overtime</t>
  </si>
  <si>
    <t>s</t>
  </si>
  <si>
    <t xml:space="preserve">Count </t>
  </si>
  <si>
    <t>Averageif-sales and tenure analysis</t>
  </si>
  <si>
    <t>avg income leavers</t>
  </si>
  <si>
    <t>avg years at company leavers</t>
  </si>
  <si>
    <t>Avg years at company stayers</t>
  </si>
  <si>
    <t>Row Labels</t>
  </si>
  <si>
    <t>Grand Total</t>
  </si>
  <si>
    <t>Column Labels</t>
  </si>
  <si>
    <t>Count of EmployeeNumber</t>
  </si>
  <si>
    <t>avg income people stayed</t>
  </si>
  <si>
    <t>&amp; 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</si>
</sst>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8" formatCode="_-[$£-809]* #,##0.00_-;\-[$£-809]* #,##0.00_-;_-[$£-809]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FAF9F5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33" borderId="0" xfId="0" applyFill="1"/>
    <xf numFmtId="165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0" fillId="33" borderId="0" xfId="0" applyFill="1" applyAlignment="1">
      <alignment horizontal="left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59010586401634"/>
          <c:y val="7.8431372549019607E-2"/>
          <c:w val="0.85297462817147851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summary!$A$3:$A$4</c:f>
              <c:strCache>
                <c:ptCount val="2"/>
                <c:pt idx="0">
                  <c:v>avg income leavers</c:v>
                </c:pt>
                <c:pt idx="1">
                  <c:v>avg income people stayed</c:v>
                </c:pt>
              </c:strCache>
            </c:strRef>
          </c:cat>
          <c:val>
            <c:numRef>
              <c:f>summary!$B$3:$B$4</c:f>
              <c:numCache>
                <c:formatCode>_-[$£-809]* #,##0.00_-;\-[$£-809]* #,##0.00_-;_-[$£-809]* "-"??_-;_-@_-</c:formatCode>
                <c:ptCount val="2"/>
                <c:pt idx="0">
                  <c:v>4787.0928270042195</c:v>
                </c:pt>
                <c:pt idx="1">
                  <c:v>6832.7396593673966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C-4FB0-9F58-EF905F48F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280047"/>
        <c:axId val="1875275247"/>
      </c:barChart>
      <c:catAx>
        <c:axId val="187528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275247"/>
        <c:crosses val="autoZero"/>
        <c:auto val="1"/>
        <c:lblAlgn val="ctr"/>
        <c:lblOffset val="100"/>
        <c:noMultiLvlLbl val="0"/>
      </c:catAx>
      <c:valAx>
        <c:axId val="187527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28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431800</xdr:colOff>
      <xdr:row>2</xdr:row>
      <xdr:rowOff>0</xdr:rowOff>
    </xdr:from>
    <xdr:to>
      <xdr:col>11</xdr:col>
      <xdr:colOff>495300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B4303-6147-56CE-175E-90DF934ED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hri raja" refreshedDate="46140.42393877315" createdVersion="8" refreshedVersion="8" minRefreshableVersion="3" recordCount="1470" xr:uid="{FBB4BF48-4605-4DC8-893F-46BB84AD1A23}">
  <cacheSource type="worksheet">
    <worksheetSource name="HRdata"/>
  </cacheSource>
  <cacheFields count="33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x v="0"/>
    <n v="4"/>
    <s v="Single"/>
    <n v="5993"/>
    <n v="19479"/>
    <n v="8"/>
    <x v="0"/>
    <n v="11"/>
    <n v="3"/>
    <n v="1"/>
    <n v="0"/>
    <n v="8"/>
    <n v="0"/>
    <n v="1"/>
    <n v="6"/>
    <n v="4"/>
    <n v="0"/>
    <n v="5"/>
    <s v="40-49"/>
  </r>
  <r>
    <n v="49"/>
    <x v="1"/>
    <s v="Travel_Frequently"/>
    <n v="279"/>
    <x v="1"/>
    <n v="8"/>
    <n v="1"/>
    <s v="Life Sciences"/>
    <n v="2"/>
    <n v="3"/>
    <s v="Male"/>
    <n v="61"/>
    <n v="2"/>
    <n v="2"/>
    <x v="1"/>
    <n v="2"/>
    <s v="Married"/>
    <n v="5130"/>
    <n v="24907"/>
    <n v="1"/>
    <x v="1"/>
    <n v="23"/>
    <n v="4"/>
    <n v="4"/>
    <n v="1"/>
    <n v="10"/>
    <n v="3"/>
    <n v="3"/>
    <n v="10"/>
    <n v="7"/>
    <n v="1"/>
    <n v="7"/>
    <s v="40-49"/>
  </r>
  <r>
    <n v="37"/>
    <x v="0"/>
    <s v="Travel_Rarely"/>
    <n v="1373"/>
    <x v="1"/>
    <n v="2"/>
    <n v="2"/>
    <s v="Other"/>
    <n v="4"/>
    <n v="4"/>
    <s v="Male"/>
    <n v="92"/>
    <n v="2"/>
    <n v="1"/>
    <x v="2"/>
    <n v="3"/>
    <s v="Single"/>
    <n v="2090"/>
    <n v="2396"/>
    <n v="6"/>
    <x v="0"/>
    <n v="15"/>
    <n v="3"/>
    <n v="2"/>
    <n v="0"/>
    <n v="7"/>
    <n v="3"/>
    <n v="3"/>
    <n v="0"/>
    <n v="0"/>
    <n v="0"/>
    <n v="0"/>
    <s v="30-39"/>
  </r>
  <r>
    <n v="33"/>
    <x v="1"/>
    <s v="Travel_Frequently"/>
    <n v="1392"/>
    <x v="1"/>
    <n v="3"/>
    <n v="4"/>
    <s v="Life Sciences"/>
    <n v="5"/>
    <n v="4"/>
    <s v="Female"/>
    <n v="56"/>
    <n v="3"/>
    <n v="1"/>
    <x v="1"/>
    <n v="3"/>
    <s v="Married"/>
    <n v="2909"/>
    <n v="23159"/>
    <n v="1"/>
    <x v="0"/>
    <n v="11"/>
    <n v="3"/>
    <n v="3"/>
    <n v="0"/>
    <n v="8"/>
    <n v="3"/>
    <n v="3"/>
    <n v="8"/>
    <n v="7"/>
    <n v="3"/>
    <n v="0"/>
    <s v="30-39"/>
  </r>
  <r>
    <n v="27"/>
    <x v="1"/>
    <s v="Travel_Rarely"/>
    <n v="591"/>
    <x v="1"/>
    <n v="2"/>
    <n v="1"/>
    <s v="Medical"/>
    <n v="7"/>
    <n v="1"/>
    <s v="Male"/>
    <n v="40"/>
    <n v="3"/>
    <n v="1"/>
    <x v="2"/>
    <n v="2"/>
    <s v="Married"/>
    <n v="3468"/>
    <n v="16632"/>
    <n v="9"/>
    <x v="1"/>
    <n v="12"/>
    <n v="3"/>
    <n v="4"/>
    <n v="1"/>
    <n v="6"/>
    <n v="3"/>
    <n v="3"/>
    <n v="2"/>
    <n v="2"/>
    <n v="2"/>
    <n v="2"/>
    <s v="Below 30"/>
  </r>
  <r>
    <n v="32"/>
    <x v="1"/>
    <s v="Travel_Frequently"/>
    <n v="1005"/>
    <x v="1"/>
    <n v="2"/>
    <n v="2"/>
    <s v="Life Sciences"/>
    <n v="8"/>
    <n v="4"/>
    <s v="Male"/>
    <n v="79"/>
    <n v="3"/>
    <n v="1"/>
    <x v="2"/>
    <n v="4"/>
    <s v="Single"/>
    <n v="3068"/>
    <n v="11864"/>
    <n v="0"/>
    <x v="1"/>
    <n v="13"/>
    <n v="3"/>
    <n v="3"/>
    <n v="0"/>
    <n v="8"/>
    <n v="2"/>
    <n v="2"/>
    <n v="7"/>
    <n v="7"/>
    <n v="3"/>
    <n v="6"/>
    <s v="30-39"/>
  </r>
  <r>
    <n v="59"/>
    <x v="1"/>
    <s v="Travel_Rarely"/>
    <n v="1324"/>
    <x v="1"/>
    <n v="3"/>
    <n v="3"/>
    <s v="Medical"/>
    <n v="10"/>
    <n v="3"/>
    <s v="Female"/>
    <n v="81"/>
    <n v="4"/>
    <n v="1"/>
    <x v="2"/>
    <n v="1"/>
    <s v="Married"/>
    <n v="2670"/>
    <n v="9964"/>
    <n v="4"/>
    <x v="0"/>
    <n v="20"/>
    <n v="4"/>
    <n v="1"/>
    <n v="3"/>
    <n v="12"/>
    <n v="3"/>
    <n v="2"/>
    <n v="1"/>
    <n v="0"/>
    <n v="0"/>
    <n v="0"/>
    <s v="50+"/>
  </r>
  <r>
    <n v="30"/>
    <x v="1"/>
    <s v="Travel_Rarely"/>
    <n v="1358"/>
    <x v="1"/>
    <n v="24"/>
    <n v="1"/>
    <s v="Life Sciences"/>
    <n v="11"/>
    <n v="4"/>
    <s v="Male"/>
    <n v="67"/>
    <n v="3"/>
    <n v="1"/>
    <x v="2"/>
    <n v="3"/>
    <s v="Divorced"/>
    <n v="2693"/>
    <n v="13335"/>
    <n v="1"/>
    <x v="1"/>
    <n v="22"/>
    <n v="4"/>
    <n v="2"/>
    <n v="1"/>
    <n v="1"/>
    <n v="2"/>
    <n v="3"/>
    <n v="1"/>
    <n v="0"/>
    <n v="0"/>
    <n v="0"/>
    <s v="30-39"/>
  </r>
  <r>
    <n v="38"/>
    <x v="1"/>
    <s v="Travel_Frequently"/>
    <n v="216"/>
    <x v="1"/>
    <n v="23"/>
    <n v="3"/>
    <s v="Life Sciences"/>
    <n v="12"/>
    <n v="4"/>
    <s v="Male"/>
    <n v="44"/>
    <n v="2"/>
    <n v="3"/>
    <x v="3"/>
    <n v="3"/>
    <s v="Single"/>
    <n v="9526"/>
    <n v="8787"/>
    <n v="0"/>
    <x v="1"/>
    <n v="21"/>
    <n v="4"/>
    <n v="2"/>
    <n v="0"/>
    <n v="10"/>
    <n v="2"/>
    <n v="3"/>
    <n v="9"/>
    <n v="7"/>
    <n v="1"/>
    <n v="8"/>
    <s v="30-39"/>
  </r>
  <r>
    <n v="36"/>
    <x v="1"/>
    <s v="Travel_Rarely"/>
    <n v="1299"/>
    <x v="1"/>
    <n v="27"/>
    <n v="3"/>
    <s v="Medical"/>
    <n v="13"/>
    <n v="3"/>
    <s v="Male"/>
    <n v="94"/>
    <n v="3"/>
    <n v="2"/>
    <x v="4"/>
    <n v="3"/>
    <s v="Married"/>
    <n v="5237"/>
    <n v="16577"/>
    <n v="6"/>
    <x v="1"/>
    <n v="13"/>
    <n v="3"/>
    <n v="2"/>
    <n v="2"/>
    <n v="17"/>
    <n v="3"/>
    <n v="2"/>
    <n v="7"/>
    <n v="7"/>
    <n v="7"/>
    <n v="7"/>
    <s v="30-39"/>
  </r>
  <r>
    <n v="35"/>
    <x v="1"/>
    <s v="Travel_Rarely"/>
    <n v="809"/>
    <x v="1"/>
    <n v="16"/>
    <n v="3"/>
    <s v="Medical"/>
    <n v="14"/>
    <n v="1"/>
    <s v="Male"/>
    <n v="84"/>
    <n v="4"/>
    <n v="1"/>
    <x v="2"/>
    <n v="2"/>
    <s v="Married"/>
    <n v="2426"/>
    <n v="16479"/>
    <n v="0"/>
    <x v="1"/>
    <n v="13"/>
    <n v="3"/>
    <n v="3"/>
    <n v="1"/>
    <n v="6"/>
    <n v="5"/>
    <n v="3"/>
    <n v="5"/>
    <n v="4"/>
    <n v="0"/>
    <n v="3"/>
    <s v="30-39"/>
  </r>
  <r>
    <n v="29"/>
    <x v="1"/>
    <s v="Travel_Rarely"/>
    <n v="153"/>
    <x v="1"/>
    <n v="15"/>
    <n v="2"/>
    <s v="Life Sciences"/>
    <n v="15"/>
    <n v="4"/>
    <s v="Female"/>
    <n v="49"/>
    <n v="2"/>
    <n v="2"/>
    <x v="2"/>
    <n v="3"/>
    <s v="Single"/>
    <n v="4193"/>
    <n v="12682"/>
    <n v="0"/>
    <x v="0"/>
    <n v="12"/>
    <n v="3"/>
    <n v="4"/>
    <n v="0"/>
    <n v="10"/>
    <n v="3"/>
    <n v="3"/>
    <n v="9"/>
    <n v="5"/>
    <n v="0"/>
    <n v="8"/>
    <s v="Below 30"/>
  </r>
  <r>
    <n v="31"/>
    <x v="1"/>
    <s v="Travel_Rarely"/>
    <n v="670"/>
    <x v="1"/>
    <n v="26"/>
    <n v="1"/>
    <s v="Life Sciences"/>
    <n v="16"/>
    <n v="1"/>
    <s v="Male"/>
    <n v="31"/>
    <n v="3"/>
    <n v="1"/>
    <x v="1"/>
    <n v="3"/>
    <s v="Divorced"/>
    <n v="2911"/>
    <n v="15170"/>
    <n v="1"/>
    <x v="1"/>
    <n v="17"/>
    <n v="3"/>
    <n v="4"/>
    <n v="1"/>
    <n v="5"/>
    <n v="1"/>
    <n v="2"/>
    <n v="5"/>
    <n v="2"/>
    <n v="4"/>
    <n v="3"/>
    <s v="30-39"/>
  </r>
  <r>
    <n v="34"/>
    <x v="1"/>
    <s v="Travel_Rarely"/>
    <n v="1346"/>
    <x v="1"/>
    <n v="19"/>
    <n v="2"/>
    <s v="Medical"/>
    <n v="18"/>
    <n v="2"/>
    <s v="Male"/>
    <n v="93"/>
    <n v="3"/>
    <n v="1"/>
    <x v="2"/>
    <n v="4"/>
    <s v="Divorced"/>
    <n v="2661"/>
    <n v="8758"/>
    <n v="0"/>
    <x v="1"/>
    <n v="11"/>
    <n v="3"/>
    <n v="3"/>
    <n v="1"/>
    <n v="3"/>
    <n v="2"/>
    <n v="3"/>
    <n v="2"/>
    <n v="2"/>
    <n v="1"/>
    <n v="2"/>
    <s v="30-39"/>
  </r>
  <r>
    <n v="28"/>
    <x v="0"/>
    <s v="Travel_Rarely"/>
    <n v="103"/>
    <x v="1"/>
    <n v="24"/>
    <n v="3"/>
    <s v="Life Sciences"/>
    <n v="19"/>
    <n v="3"/>
    <s v="Male"/>
    <n v="50"/>
    <n v="2"/>
    <n v="1"/>
    <x v="2"/>
    <n v="3"/>
    <s v="Single"/>
    <n v="2028"/>
    <n v="12947"/>
    <n v="5"/>
    <x v="0"/>
    <n v="14"/>
    <n v="3"/>
    <n v="2"/>
    <n v="0"/>
    <n v="6"/>
    <n v="4"/>
    <n v="3"/>
    <n v="4"/>
    <n v="2"/>
    <n v="0"/>
    <n v="3"/>
    <s v="Below 30"/>
  </r>
  <r>
    <n v="29"/>
    <x v="1"/>
    <s v="Travel_Rarely"/>
    <n v="1389"/>
    <x v="1"/>
    <n v="21"/>
    <n v="4"/>
    <s v="Life Sciences"/>
    <n v="20"/>
    <n v="2"/>
    <s v="Female"/>
    <n v="51"/>
    <n v="4"/>
    <n v="3"/>
    <x v="3"/>
    <n v="1"/>
    <s v="Divorced"/>
    <n v="9980"/>
    <n v="10195"/>
    <n v="1"/>
    <x v="1"/>
    <n v="11"/>
    <n v="3"/>
    <n v="3"/>
    <n v="1"/>
    <n v="10"/>
    <n v="1"/>
    <n v="3"/>
    <n v="10"/>
    <n v="9"/>
    <n v="8"/>
    <n v="8"/>
    <s v="Below 30"/>
  </r>
  <r>
    <n v="32"/>
    <x v="1"/>
    <s v="Travel_Rarely"/>
    <n v="334"/>
    <x v="1"/>
    <n v="5"/>
    <n v="2"/>
    <s v="Life Sciences"/>
    <n v="21"/>
    <n v="1"/>
    <s v="Male"/>
    <n v="80"/>
    <n v="4"/>
    <n v="1"/>
    <x v="1"/>
    <n v="2"/>
    <s v="Divorced"/>
    <n v="3298"/>
    <n v="15053"/>
    <n v="0"/>
    <x v="0"/>
    <n v="12"/>
    <n v="3"/>
    <n v="4"/>
    <n v="2"/>
    <n v="7"/>
    <n v="5"/>
    <n v="2"/>
    <n v="6"/>
    <n v="2"/>
    <n v="0"/>
    <n v="5"/>
    <s v="30-39"/>
  </r>
  <r>
    <n v="22"/>
    <x v="1"/>
    <s v="Non-Travel"/>
    <n v="1123"/>
    <x v="1"/>
    <n v="16"/>
    <n v="2"/>
    <s v="Medical"/>
    <n v="22"/>
    <n v="4"/>
    <s v="Male"/>
    <n v="96"/>
    <n v="4"/>
    <n v="1"/>
    <x v="2"/>
    <n v="4"/>
    <s v="Divorced"/>
    <n v="2935"/>
    <n v="7324"/>
    <n v="1"/>
    <x v="0"/>
    <n v="13"/>
    <n v="3"/>
    <n v="2"/>
    <n v="2"/>
    <n v="1"/>
    <n v="2"/>
    <n v="2"/>
    <n v="1"/>
    <n v="0"/>
    <n v="0"/>
    <n v="0"/>
    <s v="Below 30"/>
  </r>
  <r>
    <n v="53"/>
    <x v="1"/>
    <s v="Travel_Rarely"/>
    <n v="1219"/>
    <x v="0"/>
    <n v="2"/>
    <n v="4"/>
    <s v="Life Sciences"/>
    <n v="23"/>
    <n v="1"/>
    <s v="Female"/>
    <n v="78"/>
    <n v="2"/>
    <n v="4"/>
    <x v="5"/>
    <n v="4"/>
    <s v="Married"/>
    <n v="15427"/>
    <n v="22021"/>
    <n v="2"/>
    <x v="1"/>
    <n v="16"/>
    <n v="3"/>
    <n v="3"/>
    <n v="0"/>
    <n v="31"/>
    <n v="3"/>
    <n v="3"/>
    <n v="25"/>
    <n v="8"/>
    <n v="3"/>
    <n v="7"/>
    <s v="50+"/>
  </r>
  <r>
    <n v="38"/>
    <x v="1"/>
    <s v="Travel_Rarely"/>
    <n v="371"/>
    <x v="1"/>
    <n v="2"/>
    <n v="3"/>
    <s v="Life Sciences"/>
    <n v="24"/>
    <n v="4"/>
    <s v="Male"/>
    <n v="45"/>
    <n v="3"/>
    <n v="1"/>
    <x v="1"/>
    <n v="4"/>
    <s v="Single"/>
    <n v="3944"/>
    <n v="4306"/>
    <n v="5"/>
    <x v="0"/>
    <n v="11"/>
    <n v="3"/>
    <n v="3"/>
    <n v="0"/>
    <n v="6"/>
    <n v="3"/>
    <n v="3"/>
    <n v="3"/>
    <n v="2"/>
    <n v="1"/>
    <n v="2"/>
    <s v="30-39"/>
  </r>
  <r>
    <n v="24"/>
    <x v="1"/>
    <s v="Non-Travel"/>
    <n v="673"/>
    <x v="1"/>
    <n v="11"/>
    <n v="2"/>
    <s v="Other"/>
    <n v="26"/>
    <n v="1"/>
    <s v="Female"/>
    <n v="96"/>
    <n v="4"/>
    <n v="2"/>
    <x v="3"/>
    <n v="3"/>
    <s v="Divorced"/>
    <n v="4011"/>
    <n v="8232"/>
    <n v="0"/>
    <x v="1"/>
    <n v="18"/>
    <n v="3"/>
    <n v="4"/>
    <n v="1"/>
    <n v="5"/>
    <n v="5"/>
    <n v="2"/>
    <n v="4"/>
    <n v="2"/>
    <n v="1"/>
    <n v="3"/>
    <s v="Below 30"/>
  </r>
  <r>
    <n v="36"/>
    <x v="0"/>
    <s v="Travel_Rarely"/>
    <n v="1218"/>
    <x v="0"/>
    <n v="9"/>
    <n v="4"/>
    <s v="Life Sciences"/>
    <n v="27"/>
    <n v="3"/>
    <s v="Male"/>
    <n v="82"/>
    <n v="2"/>
    <n v="1"/>
    <x v="6"/>
    <n v="1"/>
    <s v="Single"/>
    <n v="3407"/>
    <n v="6986"/>
    <n v="7"/>
    <x v="1"/>
    <n v="23"/>
    <n v="4"/>
    <n v="2"/>
    <n v="0"/>
    <n v="10"/>
    <n v="4"/>
    <n v="3"/>
    <n v="5"/>
    <n v="3"/>
    <n v="0"/>
    <n v="3"/>
    <s v="30-39"/>
  </r>
  <r>
    <n v="34"/>
    <x v="1"/>
    <s v="Travel_Rarely"/>
    <n v="419"/>
    <x v="1"/>
    <n v="7"/>
    <n v="4"/>
    <s v="Life Sciences"/>
    <n v="28"/>
    <n v="1"/>
    <s v="Female"/>
    <n v="53"/>
    <n v="3"/>
    <n v="3"/>
    <x v="7"/>
    <n v="2"/>
    <s v="Single"/>
    <n v="11994"/>
    <n v="21293"/>
    <n v="0"/>
    <x v="1"/>
    <n v="11"/>
    <n v="3"/>
    <n v="3"/>
    <n v="0"/>
    <n v="13"/>
    <n v="4"/>
    <n v="3"/>
    <n v="12"/>
    <n v="6"/>
    <n v="2"/>
    <n v="11"/>
    <s v="30-39"/>
  </r>
  <r>
    <n v="21"/>
    <x v="1"/>
    <s v="Travel_Rarely"/>
    <n v="391"/>
    <x v="1"/>
    <n v="15"/>
    <n v="2"/>
    <s v="Life Sciences"/>
    <n v="30"/>
    <n v="3"/>
    <s v="Male"/>
    <n v="96"/>
    <n v="3"/>
    <n v="1"/>
    <x v="1"/>
    <n v="4"/>
    <s v="Single"/>
    <n v="1232"/>
    <n v="19281"/>
    <n v="1"/>
    <x v="1"/>
    <n v="14"/>
    <n v="3"/>
    <n v="4"/>
    <n v="0"/>
    <n v="0"/>
    <n v="6"/>
    <n v="3"/>
    <n v="0"/>
    <n v="0"/>
    <n v="0"/>
    <n v="0"/>
    <s v="Below 30"/>
  </r>
  <r>
    <n v="34"/>
    <x v="0"/>
    <s v="Travel_Rarely"/>
    <n v="699"/>
    <x v="1"/>
    <n v="6"/>
    <n v="1"/>
    <s v="Medical"/>
    <n v="31"/>
    <n v="2"/>
    <s v="Male"/>
    <n v="83"/>
    <n v="3"/>
    <n v="1"/>
    <x v="1"/>
    <n v="1"/>
    <s v="Single"/>
    <n v="2960"/>
    <n v="17102"/>
    <n v="2"/>
    <x v="1"/>
    <n v="11"/>
    <n v="3"/>
    <n v="3"/>
    <n v="0"/>
    <n v="8"/>
    <n v="2"/>
    <n v="3"/>
    <n v="4"/>
    <n v="2"/>
    <n v="1"/>
    <n v="3"/>
    <s v="30-39"/>
  </r>
  <r>
    <n v="53"/>
    <x v="1"/>
    <s v="Travel_Rarely"/>
    <n v="1282"/>
    <x v="1"/>
    <n v="5"/>
    <n v="3"/>
    <s v="Other"/>
    <n v="32"/>
    <n v="3"/>
    <s v="Female"/>
    <n v="58"/>
    <n v="3"/>
    <n v="5"/>
    <x v="5"/>
    <n v="3"/>
    <s v="Divorced"/>
    <n v="19094"/>
    <n v="10735"/>
    <n v="4"/>
    <x v="1"/>
    <n v="11"/>
    <n v="3"/>
    <n v="4"/>
    <n v="1"/>
    <n v="26"/>
    <n v="3"/>
    <n v="2"/>
    <n v="14"/>
    <n v="13"/>
    <n v="4"/>
    <n v="8"/>
    <s v="50+"/>
  </r>
  <r>
    <n v="32"/>
    <x v="0"/>
    <s v="Travel_Frequently"/>
    <n v="1125"/>
    <x v="1"/>
    <n v="16"/>
    <n v="1"/>
    <s v="Life Sciences"/>
    <n v="33"/>
    <n v="2"/>
    <s v="Female"/>
    <n v="72"/>
    <n v="1"/>
    <n v="1"/>
    <x v="1"/>
    <n v="1"/>
    <s v="Single"/>
    <n v="3919"/>
    <n v="4681"/>
    <n v="1"/>
    <x v="0"/>
    <n v="22"/>
    <n v="4"/>
    <n v="2"/>
    <n v="0"/>
    <n v="10"/>
    <n v="5"/>
    <n v="3"/>
    <n v="10"/>
    <n v="2"/>
    <n v="6"/>
    <n v="7"/>
    <s v="30-39"/>
  </r>
  <r>
    <n v="42"/>
    <x v="1"/>
    <s v="Travel_Rarely"/>
    <n v="691"/>
    <x v="0"/>
    <n v="8"/>
    <n v="4"/>
    <s v="Marketing"/>
    <n v="35"/>
    <n v="3"/>
    <s v="Male"/>
    <n v="48"/>
    <n v="3"/>
    <n v="2"/>
    <x v="0"/>
    <n v="2"/>
    <s v="Married"/>
    <n v="6825"/>
    <n v="21173"/>
    <n v="0"/>
    <x v="1"/>
    <n v="11"/>
    <n v="3"/>
    <n v="4"/>
    <n v="1"/>
    <n v="10"/>
    <n v="2"/>
    <n v="3"/>
    <n v="9"/>
    <n v="7"/>
    <n v="4"/>
    <n v="2"/>
    <s v="40-49"/>
  </r>
  <r>
    <n v="44"/>
    <x v="1"/>
    <s v="Travel_Rarely"/>
    <n v="477"/>
    <x v="1"/>
    <n v="7"/>
    <n v="4"/>
    <s v="Medical"/>
    <n v="36"/>
    <n v="1"/>
    <s v="Female"/>
    <n v="42"/>
    <n v="2"/>
    <n v="3"/>
    <x v="4"/>
    <n v="4"/>
    <s v="Married"/>
    <n v="10248"/>
    <n v="2094"/>
    <n v="3"/>
    <x v="1"/>
    <n v="14"/>
    <n v="3"/>
    <n v="4"/>
    <n v="1"/>
    <n v="24"/>
    <n v="4"/>
    <n v="3"/>
    <n v="22"/>
    <n v="6"/>
    <n v="5"/>
    <n v="17"/>
    <s v="40-49"/>
  </r>
  <r>
    <n v="46"/>
    <x v="1"/>
    <s v="Travel_Rarely"/>
    <n v="705"/>
    <x v="0"/>
    <n v="2"/>
    <n v="4"/>
    <s v="Marketing"/>
    <n v="38"/>
    <n v="2"/>
    <s v="Female"/>
    <n v="83"/>
    <n v="3"/>
    <n v="5"/>
    <x v="5"/>
    <n v="1"/>
    <s v="Single"/>
    <n v="18947"/>
    <n v="22822"/>
    <n v="3"/>
    <x v="1"/>
    <n v="12"/>
    <n v="3"/>
    <n v="4"/>
    <n v="0"/>
    <n v="22"/>
    <n v="2"/>
    <n v="2"/>
    <n v="2"/>
    <n v="2"/>
    <n v="2"/>
    <n v="1"/>
    <s v="40-49"/>
  </r>
  <r>
    <n v="33"/>
    <x v="1"/>
    <s v="Travel_Rarely"/>
    <n v="924"/>
    <x v="1"/>
    <n v="2"/>
    <n v="3"/>
    <s v="Medical"/>
    <n v="39"/>
    <n v="3"/>
    <s v="Male"/>
    <n v="78"/>
    <n v="3"/>
    <n v="1"/>
    <x v="2"/>
    <n v="4"/>
    <s v="Single"/>
    <n v="2496"/>
    <n v="6670"/>
    <n v="4"/>
    <x v="1"/>
    <n v="11"/>
    <n v="3"/>
    <n v="4"/>
    <n v="0"/>
    <n v="7"/>
    <n v="3"/>
    <n v="3"/>
    <n v="1"/>
    <n v="1"/>
    <n v="0"/>
    <n v="0"/>
    <s v="30-39"/>
  </r>
  <r>
    <n v="44"/>
    <x v="1"/>
    <s v="Travel_Rarely"/>
    <n v="1459"/>
    <x v="1"/>
    <n v="10"/>
    <n v="4"/>
    <s v="Other"/>
    <n v="40"/>
    <n v="4"/>
    <s v="Male"/>
    <n v="41"/>
    <n v="3"/>
    <n v="2"/>
    <x v="4"/>
    <n v="4"/>
    <s v="Married"/>
    <n v="6465"/>
    <n v="19121"/>
    <n v="2"/>
    <x v="0"/>
    <n v="13"/>
    <n v="3"/>
    <n v="4"/>
    <n v="0"/>
    <n v="9"/>
    <n v="5"/>
    <n v="4"/>
    <n v="4"/>
    <n v="2"/>
    <n v="1"/>
    <n v="3"/>
    <s v="40-49"/>
  </r>
  <r>
    <n v="30"/>
    <x v="1"/>
    <s v="Travel_Rarely"/>
    <n v="125"/>
    <x v="1"/>
    <n v="9"/>
    <n v="2"/>
    <s v="Medical"/>
    <n v="41"/>
    <n v="4"/>
    <s v="Male"/>
    <n v="83"/>
    <n v="2"/>
    <n v="1"/>
    <x v="2"/>
    <n v="3"/>
    <s v="Single"/>
    <n v="2206"/>
    <n v="16117"/>
    <n v="1"/>
    <x v="1"/>
    <n v="13"/>
    <n v="3"/>
    <n v="1"/>
    <n v="0"/>
    <n v="10"/>
    <n v="5"/>
    <n v="3"/>
    <n v="10"/>
    <n v="0"/>
    <n v="1"/>
    <n v="8"/>
    <s v="30-39"/>
  </r>
  <r>
    <n v="39"/>
    <x v="0"/>
    <s v="Travel_Rarely"/>
    <n v="895"/>
    <x v="0"/>
    <n v="5"/>
    <n v="3"/>
    <s v="Technical Degree"/>
    <n v="42"/>
    <n v="4"/>
    <s v="Male"/>
    <n v="56"/>
    <n v="3"/>
    <n v="2"/>
    <x v="6"/>
    <n v="4"/>
    <s v="Married"/>
    <n v="2086"/>
    <n v="3335"/>
    <n v="3"/>
    <x v="1"/>
    <n v="14"/>
    <n v="3"/>
    <n v="3"/>
    <n v="1"/>
    <n v="19"/>
    <n v="6"/>
    <n v="4"/>
    <n v="1"/>
    <n v="0"/>
    <n v="0"/>
    <n v="0"/>
    <s v="30-39"/>
  </r>
  <r>
    <n v="24"/>
    <x v="0"/>
    <s v="Travel_Rarely"/>
    <n v="813"/>
    <x v="1"/>
    <n v="1"/>
    <n v="3"/>
    <s v="Medical"/>
    <n v="45"/>
    <n v="2"/>
    <s v="Male"/>
    <n v="61"/>
    <n v="3"/>
    <n v="1"/>
    <x v="1"/>
    <n v="4"/>
    <s v="Married"/>
    <n v="2293"/>
    <n v="3020"/>
    <n v="2"/>
    <x v="0"/>
    <n v="16"/>
    <n v="3"/>
    <n v="1"/>
    <n v="1"/>
    <n v="6"/>
    <n v="2"/>
    <n v="2"/>
    <n v="2"/>
    <n v="0"/>
    <n v="2"/>
    <n v="0"/>
    <s v="Below 30"/>
  </r>
  <r>
    <n v="43"/>
    <x v="1"/>
    <s v="Travel_Rarely"/>
    <n v="1273"/>
    <x v="1"/>
    <n v="2"/>
    <n v="2"/>
    <s v="Medical"/>
    <n v="46"/>
    <n v="4"/>
    <s v="Female"/>
    <n v="72"/>
    <n v="4"/>
    <n v="1"/>
    <x v="1"/>
    <n v="3"/>
    <s v="Divorced"/>
    <n v="2645"/>
    <n v="21923"/>
    <n v="1"/>
    <x v="1"/>
    <n v="12"/>
    <n v="3"/>
    <n v="4"/>
    <n v="2"/>
    <n v="6"/>
    <n v="3"/>
    <n v="2"/>
    <n v="5"/>
    <n v="3"/>
    <n v="1"/>
    <n v="4"/>
    <s v="40-49"/>
  </r>
  <r>
    <n v="50"/>
    <x v="0"/>
    <s v="Travel_Rarely"/>
    <n v="869"/>
    <x v="0"/>
    <n v="3"/>
    <n v="2"/>
    <s v="Marketing"/>
    <n v="47"/>
    <n v="1"/>
    <s v="Male"/>
    <n v="86"/>
    <n v="2"/>
    <n v="1"/>
    <x v="6"/>
    <n v="3"/>
    <s v="Married"/>
    <n v="2683"/>
    <n v="3810"/>
    <n v="1"/>
    <x v="0"/>
    <n v="14"/>
    <n v="3"/>
    <n v="3"/>
    <n v="0"/>
    <n v="3"/>
    <n v="2"/>
    <n v="3"/>
    <n v="3"/>
    <n v="2"/>
    <n v="0"/>
    <n v="2"/>
    <s v="50+"/>
  </r>
  <r>
    <n v="35"/>
    <x v="1"/>
    <s v="Travel_Rarely"/>
    <n v="890"/>
    <x v="0"/>
    <n v="2"/>
    <n v="3"/>
    <s v="Marketing"/>
    <n v="49"/>
    <n v="4"/>
    <s v="Female"/>
    <n v="97"/>
    <n v="3"/>
    <n v="1"/>
    <x v="6"/>
    <n v="4"/>
    <s v="Married"/>
    <n v="2014"/>
    <n v="9687"/>
    <n v="1"/>
    <x v="1"/>
    <n v="13"/>
    <n v="3"/>
    <n v="1"/>
    <n v="0"/>
    <n v="2"/>
    <n v="3"/>
    <n v="3"/>
    <n v="2"/>
    <n v="2"/>
    <n v="2"/>
    <n v="2"/>
    <s v="30-39"/>
  </r>
  <r>
    <n v="36"/>
    <x v="1"/>
    <s v="Travel_Rarely"/>
    <n v="852"/>
    <x v="1"/>
    <n v="5"/>
    <n v="4"/>
    <s v="Life Sciences"/>
    <n v="51"/>
    <n v="2"/>
    <s v="Female"/>
    <n v="82"/>
    <n v="2"/>
    <n v="1"/>
    <x v="1"/>
    <n v="1"/>
    <s v="Married"/>
    <n v="3419"/>
    <n v="13072"/>
    <n v="9"/>
    <x v="0"/>
    <n v="14"/>
    <n v="3"/>
    <n v="4"/>
    <n v="1"/>
    <n v="6"/>
    <n v="3"/>
    <n v="4"/>
    <n v="1"/>
    <n v="1"/>
    <n v="0"/>
    <n v="0"/>
    <s v="30-39"/>
  </r>
  <r>
    <n v="33"/>
    <x v="1"/>
    <s v="Travel_Frequently"/>
    <n v="1141"/>
    <x v="0"/>
    <n v="1"/>
    <n v="3"/>
    <s v="Life Sciences"/>
    <n v="52"/>
    <n v="3"/>
    <s v="Female"/>
    <n v="42"/>
    <n v="4"/>
    <n v="2"/>
    <x v="0"/>
    <n v="1"/>
    <s v="Married"/>
    <n v="5376"/>
    <n v="3193"/>
    <n v="2"/>
    <x v="1"/>
    <n v="19"/>
    <n v="3"/>
    <n v="1"/>
    <n v="2"/>
    <n v="10"/>
    <n v="3"/>
    <n v="3"/>
    <n v="5"/>
    <n v="3"/>
    <n v="1"/>
    <n v="3"/>
    <s v="30-39"/>
  </r>
  <r>
    <n v="35"/>
    <x v="1"/>
    <s v="Travel_Rarely"/>
    <n v="464"/>
    <x v="1"/>
    <n v="4"/>
    <n v="2"/>
    <s v="Other"/>
    <n v="53"/>
    <n v="3"/>
    <s v="Male"/>
    <n v="75"/>
    <n v="3"/>
    <n v="1"/>
    <x v="2"/>
    <n v="4"/>
    <s v="Divorced"/>
    <n v="1951"/>
    <n v="10910"/>
    <n v="1"/>
    <x v="1"/>
    <n v="12"/>
    <n v="3"/>
    <n v="3"/>
    <n v="1"/>
    <n v="1"/>
    <n v="3"/>
    <n v="3"/>
    <n v="1"/>
    <n v="0"/>
    <n v="0"/>
    <n v="0"/>
    <s v="30-39"/>
  </r>
  <r>
    <n v="27"/>
    <x v="1"/>
    <s v="Travel_Rarely"/>
    <n v="1240"/>
    <x v="1"/>
    <n v="2"/>
    <n v="4"/>
    <s v="Life Sciences"/>
    <n v="54"/>
    <n v="4"/>
    <s v="Female"/>
    <n v="33"/>
    <n v="3"/>
    <n v="1"/>
    <x v="2"/>
    <n v="1"/>
    <s v="Divorced"/>
    <n v="2341"/>
    <n v="19715"/>
    <n v="1"/>
    <x v="1"/>
    <n v="13"/>
    <n v="3"/>
    <n v="4"/>
    <n v="1"/>
    <n v="1"/>
    <n v="6"/>
    <n v="3"/>
    <n v="1"/>
    <n v="0"/>
    <n v="0"/>
    <n v="0"/>
    <s v="Below 30"/>
  </r>
  <r>
    <n v="26"/>
    <x v="0"/>
    <s v="Travel_Rarely"/>
    <n v="1357"/>
    <x v="1"/>
    <n v="25"/>
    <n v="3"/>
    <s v="Life Sciences"/>
    <n v="55"/>
    <n v="1"/>
    <s v="Male"/>
    <n v="48"/>
    <n v="1"/>
    <n v="1"/>
    <x v="2"/>
    <n v="3"/>
    <s v="Single"/>
    <n v="2293"/>
    <n v="10558"/>
    <n v="1"/>
    <x v="1"/>
    <n v="12"/>
    <n v="3"/>
    <n v="3"/>
    <n v="0"/>
    <n v="1"/>
    <n v="2"/>
    <n v="2"/>
    <n v="1"/>
    <n v="0"/>
    <n v="0"/>
    <n v="1"/>
    <s v="Below 30"/>
  </r>
  <r>
    <n v="27"/>
    <x v="1"/>
    <s v="Travel_Frequently"/>
    <n v="994"/>
    <x v="0"/>
    <n v="8"/>
    <n v="3"/>
    <s v="Life Sciences"/>
    <n v="56"/>
    <n v="4"/>
    <s v="Male"/>
    <n v="37"/>
    <n v="3"/>
    <n v="3"/>
    <x v="0"/>
    <n v="3"/>
    <s v="Single"/>
    <n v="8726"/>
    <n v="2975"/>
    <n v="1"/>
    <x v="1"/>
    <n v="15"/>
    <n v="3"/>
    <n v="4"/>
    <n v="0"/>
    <n v="9"/>
    <n v="0"/>
    <n v="3"/>
    <n v="9"/>
    <n v="8"/>
    <n v="1"/>
    <n v="7"/>
    <s v="Below 30"/>
  </r>
  <r>
    <n v="30"/>
    <x v="1"/>
    <s v="Travel_Frequently"/>
    <n v="721"/>
    <x v="1"/>
    <n v="1"/>
    <n v="2"/>
    <s v="Medical"/>
    <n v="57"/>
    <n v="3"/>
    <s v="Female"/>
    <n v="58"/>
    <n v="3"/>
    <n v="2"/>
    <x v="2"/>
    <n v="4"/>
    <s v="Single"/>
    <n v="4011"/>
    <n v="10781"/>
    <n v="1"/>
    <x v="1"/>
    <n v="23"/>
    <n v="4"/>
    <n v="4"/>
    <n v="0"/>
    <n v="12"/>
    <n v="2"/>
    <n v="3"/>
    <n v="12"/>
    <n v="8"/>
    <n v="3"/>
    <n v="7"/>
    <s v="30-39"/>
  </r>
  <r>
    <n v="41"/>
    <x v="0"/>
    <s v="Travel_Rarely"/>
    <n v="1360"/>
    <x v="1"/>
    <n v="12"/>
    <n v="3"/>
    <s v="Technical Degree"/>
    <n v="58"/>
    <n v="2"/>
    <s v="Female"/>
    <n v="49"/>
    <n v="3"/>
    <n v="5"/>
    <x v="7"/>
    <n v="3"/>
    <s v="Married"/>
    <n v="19545"/>
    <n v="16280"/>
    <n v="1"/>
    <x v="1"/>
    <n v="12"/>
    <n v="3"/>
    <n v="4"/>
    <n v="0"/>
    <n v="23"/>
    <n v="0"/>
    <n v="3"/>
    <n v="22"/>
    <n v="15"/>
    <n v="15"/>
    <n v="8"/>
    <s v="40-49"/>
  </r>
  <r>
    <n v="34"/>
    <x v="1"/>
    <s v="Non-Travel"/>
    <n v="1065"/>
    <x v="0"/>
    <n v="23"/>
    <n v="4"/>
    <s v="Marketing"/>
    <n v="60"/>
    <n v="2"/>
    <s v="Male"/>
    <n v="72"/>
    <n v="3"/>
    <n v="2"/>
    <x v="0"/>
    <n v="3"/>
    <s v="Single"/>
    <n v="4568"/>
    <n v="10034"/>
    <n v="0"/>
    <x v="1"/>
    <n v="20"/>
    <n v="4"/>
    <n v="3"/>
    <n v="0"/>
    <n v="10"/>
    <n v="2"/>
    <n v="3"/>
    <n v="9"/>
    <n v="5"/>
    <n v="8"/>
    <n v="7"/>
    <s v="30-39"/>
  </r>
  <r>
    <n v="37"/>
    <x v="1"/>
    <s v="Travel_Rarely"/>
    <n v="408"/>
    <x v="1"/>
    <n v="19"/>
    <n v="2"/>
    <s v="Life Sciences"/>
    <n v="61"/>
    <n v="2"/>
    <s v="Male"/>
    <n v="73"/>
    <n v="3"/>
    <n v="1"/>
    <x v="1"/>
    <n v="2"/>
    <s v="Married"/>
    <n v="3022"/>
    <n v="10227"/>
    <n v="4"/>
    <x v="1"/>
    <n v="21"/>
    <n v="4"/>
    <n v="1"/>
    <n v="0"/>
    <n v="8"/>
    <n v="1"/>
    <n v="3"/>
    <n v="1"/>
    <n v="0"/>
    <n v="0"/>
    <n v="0"/>
    <s v="30-39"/>
  </r>
  <r>
    <n v="46"/>
    <x v="1"/>
    <s v="Travel_Frequently"/>
    <n v="1211"/>
    <x v="0"/>
    <n v="5"/>
    <n v="4"/>
    <s v="Marketing"/>
    <n v="62"/>
    <n v="1"/>
    <s v="Male"/>
    <n v="98"/>
    <n v="3"/>
    <n v="2"/>
    <x v="0"/>
    <n v="4"/>
    <s v="Single"/>
    <n v="5772"/>
    <n v="20445"/>
    <n v="4"/>
    <x v="0"/>
    <n v="21"/>
    <n v="4"/>
    <n v="3"/>
    <n v="0"/>
    <n v="14"/>
    <n v="4"/>
    <n v="3"/>
    <n v="9"/>
    <n v="6"/>
    <n v="0"/>
    <n v="8"/>
    <s v="40-49"/>
  </r>
  <r>
    <n v="35"/>
    <x v="1"/>
    <s v="Travel_Rarely"/>
    <n v="1229"/>
    <x v="1"/>
    <n v="8"/>
    <n v="1"/>
    <s v="Life Sciences"/>
    <n v="63"/>
    <n v="4"/>
    <s v="Male"/>
    <n v="36"/>
    <n v="4"/>
    <n v="1"/>
    <x v="2"/>
    <n v="4"/>
    <s v="Married"/>
    <n v="2269"/>
    <n v="4892"/>
    <n v="1"/>
    <x v="1"/>
    <n v="19"/>
    <n v="3"/>
    <n v="4"/>
    <n v="0"/>
    <n v="1"/>
    <n v="2"/>
    <n v="3"/>
    <n v="1"/>
    <n v="0"/>
    <n v="0"/>
    <n v="1"/>
    <s v="30-39"/>
  </r>
  <r>
    <n v="48"/>
    <x v="0"/>
    <s v="Travel_Rarely"/>
    <n v="626"/>
    <x v="1"/>
    <n v="1"/>
    <n v="2"/>
    <s v="Life Sciences"/>
    <n v="64"/>
    <n v="1"/>
    <s v="Male"/>
    <n v="98"/>
    <n v="2"/>
    <n v="3"/>
    <x v="2"/>
    <n v="3"/>
    <s v="Single"/>
    <n v="5381"/>
    <n v="19294"/>
    <n v="9"/>
    <x v="0"/>
    <n v="13"/>
    <n v="3"/>
    <n v="4"/>
    <n v="0"/>
    <n v="23"/>
    <n v="2"/>
    <n v="3"/>
    <n v="1"/>
    <n v="0"/>
    <n v="0"/>
    <n v="0"/>
    <s v="40-49"/>
  </r>
  <r>
    <n v="28"/>
    <x v="0"/>
    <s v="Travel_Rarely"/>
    <n v="1434"/>
    <x v="1"/>
    <n v="5"/>
    <n v="4"/>
    <s v="Technical Degree"/>
    <n v="65"/>
    <n v="3"/>
    <s v="Male"/>
    <n v="50"/>
    <n v="3"/>
    <n v="1"/>
    <x v="2"/>
    <n v="3"/>
    <s v="Single"/>
    <n v="3441"/>
    <n v="11179"/>
    <n v="1"/>
    <x v="0"/>
    <n v="13"/>
    <n v="3"/>
    <n v="3"/>
    <n v="0"/>
    <n v="2"/>
    <n v="3"/>
    <n v="2"/>
    <n v="2"/>
    <n v="2"/>
    <n v="2"/>
    <n v="2"/>
    <s v="Below 30"/>
  </r>
  <r>
    <n v="44"/>
    <x v="1"/>
    <s v="Travel_Rarely"/>
    <n v="1488"/>
    <x v="0"/>
    <n v="1"/>
    <n v="5"/>
    <s v="Marketing"/>
    <n v="68"/>
    <n v="2"/>
    <s v="Female"/>
    <n v="75"/>
    <n v="3"/>
    <n v="2"/>
    <x v="0"/>
    <n v="1"/>
    <s v="Divorced"/>
    <n v="5454"/>
    <n v="4009"/>
    <n v="5"/>
    <x v="0"/>
    <n v="21"/>
    <n v="4"/>
    <n v="3"/>
    <n v="1"/>
    <n v="9"/>
    <n v="2"/>
    <n v="2"/>
    <n v="4"/>
    <n v="3"/>
    <n v="1"/>
    <n v="3"/>
    <s v="40-49"/>
  </r>
  <r>
    <n v="35"/>
    <x v="1"/>
    <s v="Non-Travel"/>
    <n v="1097"/>
    <x v="1"/>
    <n v="11"/>
    <n v="2"/>
    <s v="Medical"/>
    <n v="70"/>
    <n v="3"/>
    <s v="Male"/>
    <n v="79"/>
    <n v="2"/>
    <n v="3"/>
    <x v="4"/>
    <n v="1"/>
    <s v="Married"/>
    <n v="9884"/>
    <n v="8302"/>
    <n v="2"/>
    <x v="0"/>
    <n v="13"/>
    <n v="3"/>
    <n v="3"/>
    <n v="1"/>
    <n v="10"/>
    <n v="3"/>
    <n v="3"/>
    <n v="4"/>
    <n v="0"/>
    <n v="2"/>
    <n v="3"/>
    <s v="30-39"/>
  </r>
  <r>
    <n v="26"/>
    <x v="1"/>
    <s v="Travel_Rarely"/>
    <n v="1443"/>
    <x v="0"/>
    <n v="23"/>
    <n v="3"/>
    <s v="Marketing"/>
    <n v="72"/>
    <n v="3"/>
    <s v="Female"/>
    <n v="47"/>
    <n v="2"/>
    <n v="2"/>
    <x v="0"/>
    <n v="4"/>
    <s v="Married"/>
    <n v="4157"/>
    <n v="21436"/>
    <n v="7"/>
    <x v="0"/>
    <n v="19"/>
    <n v="3"/>
    <n v="3"/>
    <n v="1"/>
    <n v="5"/>
    <n v="2"/>
    <n v="2"/>
    <n v="2"/>
    <n v="2"/>
    <n v="0"/>
    <n v="0"/>
    <s v="Below 30"/>
  </r>
  <r>
    <n v="33"/>
    <x v="1"/>
    <s v="Travel_Frequently"/>
    <n v="515"/>
    <x v="1"/>
    <n v="1"/>
    <n v="2"/>
    <s v="Life Sciences"/>
    <n v="73"/>
    <n v="1"/>
    <s v="Female"/>
    <n v="98"/>
    <n v="3"/>
    <n v="3"/>
    <x v="7"/>
    <n v="4"/>
    <s v="Single"/>
    <n v="13458"/>
    <n v="15146"/>
    <n v="1"/>
    <x v="0"/>
    <n v="12"/>
    <n v="3"/>
    <n v="3"/>
    <n v="0"/>
    <n v="15"/>
    <n v="1"/>
    <n v="3"/>
    <n v="15"/>
    <n v="14"/>
    <n v="8"/>
    <n v="12"/>
    <s v="30-39"/>
  </r>
  <r>
    <n v="35"/>
    <x v="1"/>
    <s v="Travel_Frequently"/>
    <n v="853"/>
    <x v="0"/>
    <n v="18"/>
    <n v="5"/>
    <s v="Life Sciences"/>
    <n v="74"/>
    <n v="2"/>
    <s v="Male"/>
    <n v="71"/>
    <n v="3"/>
    <n v="3"/>
    <x v="0"/>
    <n v="1"/>
    <s v="Married"/>
    <n v="9069"/>
    <n v="11031"/>
    <n v="1"/>
    <x v="1"/>
    <n v="22"/>
    <n v="4"/>
    <n v="4"/>
    <n v="1"/>
    <n v="9"/>
    <n v="3"/>
    <n v="2"/>
    <n v="9"/>
    <n v="8"/>
    <n v="1"/>
    <n v="8"/>
    <s v="30-39"/>
  </r>
  <r>
    <n v="35"/>
    <x v="1"/>
    <s v="Travel_Rarely"/>
    <n v="1142"/>
    <x v="1"/>
    <n v="23"/>
    <n v="4"/>
    <s v="Medical"/>
    <n v="75"/>
    <n v="3"/>
    <s v="Female"/>
    <n v="30"/>
    <n v="3"/>
    <n v="1"/>
    <x v="2"/>
    <n v="1"/>
    <s v="Married"/>
    <n v="4014"/>
    <n v="16002"/>
    <n v="3"/>
    <x v="0"/>
    <n v="15"/>
    <n v="3"/>
    <n v="3"/>
    <n v="1"/>
    <n v="4"/>
    <n v="3"/>
    <n v="3"/>
    <n v="2"/>
    <n v="2"/>
    <n v="2"/>
    <n v="2"/>
    <s v="30-39"/>
  </r>
  <r>
    <n v="31"/>
    <x v="1"/>
    <s v="Travel_Rarely"/>
    <n v="655"/>
    <x v="1"/>
    <n v="7"/>
    <n v="4"/>
    <s v="Life Sciences"/>
    <n v="76"/>
    <n v="4"/>
    <s v="Male"/>
    <n v="48"/>
    <n v="3"/>
    <n v="2"/>
    <x v="2"/>
    <n v="4"/>
    <s v="Divorced"/>
    <n v="5915"/>
    <n v="9528"/>
    <n v="3"/>
    <x v="1"/>
    <n v="22"/>
    <n v="4"/>
    <n v="4"/>
    <n v="1"/>
    <n v="10"/>
    <n v="3"/>
    <n v="2"/>
    <n v="7"/>
    <n v="7"/>
    <n v="1"/>
    <n v="7"/>
    <s v="30-39"/>
  </r>
  <r>
    <n v="37"/>
    <x v="1"/>
    <s v="Travel_Rarely"/>
    <n v="1115"/>
    <x v="1"/>
    <n v="1"/>
    <n v="4"/>
    <s v="Life Sciences"/>
    <n v="77"/>
    <n v="1"/>
    <s v="Male"/>
    <n v="51"/>
    <n v="2"/>
    <n v="2"/>
    <x v="3"/>
    <n v="3"/>
    <s v="Divorced"/>
    <n v="5993"/>
    <n v="2689"/>
    <n v="1"/>
    <x v="1"/>
    <n v="18"/>
    <n v="3"/>
    <n v="3"/>
    <n v="1"/>
    <n v="7"/>
    <n v="2"/>
    <n v="4"/>
    <n v="7"/>
    <n v="5"/>
    <n v="0"/>
    <n v="7"/>
    <s v="30-39"/>
  </r>
  <r>
    <n v="32"/>
    <x v="1"/>
    <s v="Travel_Rarely"/>
    <n v="427"/>
    <x v="1"/>
    <n v="1"/>
    <n v="3"/>
    <s v="Medical"/>
    <n v="78"/>
    <n v="1"/>
    <s v="Male"/>
    <n v="33"/>
    <n v="3"/>
    <n v="2"/>
    <x v="3"/>
    <n v="4"/>
    <s v="Married"/>
    <n v="6162"/>
    <n v="10877"/>
    <n v="1"/>
    <x v="0"/>
    <n v="22"/>
    <n v="4"/>
    <n v="2"/>
    <n v="1"/>
    <n v="9"/>
    <n v="3"/>
    <n v="3"/>
    <n v="9"/>
    <n v="8"/>
    <n v="7"/>
    <n v="8"/>
    <s v="30-39"/>
  </r>
  <r>
    <n v="38"/>
    <x v="1"/>
    <s v="Travel_Frequently"/>
    <n v="653"/>
    <x v="1"/>
    <n v="29"/>
    <n v="5"/>
    <s v="Life Sciences"/>
    <n v="79"/>
    <n v="4"/>
    <s v="Female"/>
    <n v="50"/>
    <n v="3"/>
    <n v="2"/>
    <x v="2"/>
    <n v="4"/>
    <s v="Single"/>
    <n v="2406"/>
    <n v="5456"/>
    <n v="1"/>
    <x v="1"/>
    <n v="11"/>
    <n v="3"/>
    <n v="4"/>
    <n v="0"/>
    <n v="10"/>
    <n v="2"/>
    <n v="3"/>
    <n v="10"/>
    <n v="3"/>
    <n v="9"/>
    <n v="9"/>
    <s v="30-39"/>
  </r>
  <r>
    <n v="50"/>
    <x v="1"/>
    <s v="Travel_Rarely"/>
    <n v="989"/>
    <x v="1"/>
    <n v="7"/>
    <n v="2"/>
    <s v="Medical"/>
    <n v="80"/>
    <n v="2"/>
    <s v="Female"/>
    <n v="43"/>
    <n v="2"/>
    <n v="5"/>
    <x v="7"/>
    <n v="3"/>
    <s v="Divorced"/>
    <n v="18740"/>
    <n v="16701"/>
    <n v="5"/>
    <x v="0"/>
    <n v="12"/>
    <n v="3"/>
    <n v="4"/>
    <n v="1"/>
    <n v="29"/>
    <n v="2"/>
    <n v="2"/>
    <n v="27"/>
    <n v="3"/>
    <n v="13"/>
    <n v="8"/>
    <s v="50+"/>
  </r>
  <r>
    <n v="59"/>
    <x v="1"/>
    <s v="Travel_Rarely"/>
    <n v="1435"/>
    <x v="0"/>
    <n v="25"/>
    <n v="3"/>
    <s v="Life Sciences"/>
    <n v="81"/>
    <n v="1"/>
    <s v="Female"/>
    <n v="99"/>
    <n v="3"/>
    <n v="3"/>
    <x v="0"/>
    <n v="1"/>
    <s v="Single"/>
    <n v="7637"/>
    <n v="2354"/>
    <n v="7"/>
    <x v="1"/>
    <n v="11"/>
    <n v="3"/>
    <n v="4"/>
    <n v="0"/>
    <n v="28"/>
    <n v="3"/>
    <n v="2"/>
    <n v="21"/>
    <n v="16"/>
    <n v="7"/>
    <n v="9"/>
    <s v="50+"/>
  </r>
  <r>
    <n v="36"/>
    <x v="1"/>
    <s v="Travel_Rarely"/>
    <n v="1223"/>
    <x v="1"/>
    <n v="8"/>
    <n v="3"/>
    <s v="Technical Degree"/>
    <n v="83"/>
    <n v="3"/>
    <s v="Female"/>
    <n v="59"/>
    <n v="3"/>
    <n v="3"/>
    <x v="4"/>
    <n v="3"/>
    <s v="Divorced"/>
    <n v="10096"/>
    <n v="8202"/>
    <n v="1"/>
    <x v="1"/>
    <n v="13"/>
    <n v="3"/>
    <n v="2"/>
    <n v="3"/>
    <n v="17"/>
    <n v="2"/>
    <n v="3"/>
    <n v="17"/>
    <n v="14"/>
    <n v="12"/>
    <n v="8"/>
    <s v="30-39"/>
  </r>
  <r>
    <n v="55"/>
    <x v="1"/>
    <s v="Travel_Rarely"/>
    <n v="836"/>
    <x v="1"/>
    <n v="8"/>
    <n v="3"/>
    <s v="Medical"/>
    <n v="84"/>
    <n v="4"/>
    <s v="Female"/>
    <n v="33"/>
    <n v="3"/>
    <n v="4"/>
    <x v="5"/>
    <n v="3"/>
    <s v="Divorced"/>
    <n v="14756"/>
    <n v="19730"/>
    <n v="2"/>
    <x v="0"/>
    <n v="14"/>
    <n v="3"/>
    <n v="3"/>
    <n v="3"/>
    <n v="21"/>
    <n v="2"/>
    <n v="3"/>
    <n v="5"/>
    <n v="0"/>
    <n v="0"/>
    <n v="2"/>
    <s v="50+"/>
  </r>
  <r>
    <n v="36"/>
    <x v="1"/>
    <s v="Travel_Frequently"/>
    <n v="1195"/>
    <x v="1"/>
    <n v="11"/>
    <n v="3"/>
    <s v="Life Sciences"/>
    <n v="85"/>
    <n v="2"/>
    <s v="Male"/>
    <n v="95"/>
    <n v="2"/>
    <n v="2"/>
    <x v="3"/>
    <n v="2"/>
    <s v="Single"/>
    <n v="6499"/>
    <n v="22656"/>
    <n v="1"/>
    <x v="1"/>
    <n v="13"/>
    <n v="3"/>
    <n v="3"/>
    <n v="0"/>
    <n v="6"/>
    <n v="3"/>
    <n v="3"/>
    <n v="6"/>
    <n v="5"/>
    <n v="0"/>
    <n v="3"/>
    <s v="30-39"/>
  </r>
  <r>
    <n v="45"/>
    <x v="1"/>
    <s v="Travel_Rarely"/>
    <n v="1339"/>
    <x v="1"/>
    <n v="7"/>
    <n v="3"/>
    <s v="Life Sciences"/>
    <n v="86"/>
    <n v="2"/>
    <s v="Male"/>
    <n v="59"/>
    <n v="3"/>
    <n v="3"/>
    <x v="1"/>
    <n v="1"/>
    <s v="Divorced"/>
    <n v="9724"/>
    <n v="18787"/>
    <n v="2"/>
    <x v="1"/>
    <n v="17"/>
    <n v="3"/>
    <n v="3"/>
    <n v="1"/>
    <n v="25"/>
    <n v="2"/>
    <n v="3"/>
    <n v="1"/>
    <n v="0"/>
    <n v="0"/>
    <n v="0"/>
    <s v="40-49"/>
  </r>
  <r>
    <n v="35"/>
    <x v="1"/>
    <s v="Travel_Frequently"/>
    <n v="664"/>
    <x v="1"/>
    <n v="1"/>
    <n v="3"/>
    <s v="Medical"/>
    <n v="88"/>
    <n v="2"/>
    <s v="Male"/>
    <n v="79"/>
    <n v="3"/>
    <n v="1"/>
    <x v="1"/>
    <n v="1"/>
    <s v="Married"/>
    <n v="2194"/>
    <n v="5868"/>
    <n v="4"/>
    <x v="1"/>
    <n v="13"/>
    <n v="3"/>
    <n v="4"/>
    <n v="1"/>
    <n v="5"/>
    <n v="2"/>
    <n v="2"/>
    <n v="3"/>
    <n v="2"/>
    <n v="1"/>
    <n v="2"/>
    <s v="30-39"/>
  </r>
  <r>
    <n v="36"/>
    <x v="0"/>
    <s v="Travel_Rarely"/>
    <n v="318"/>
    <x v="1"/>
    <n v="9"/>
    <n v="3"/>
    <s v="Medical"/>
    <n v="90"/>
    <n v="4"/>
    <s v="Male"/>
    <n v="79"/>
    <n v="2"/>
    <n v="1"/>
    <x v="1"/>
    <n v="3"/>
    <s v="Married"/>
    <n v="3388"/>
    <n v="21777"/>
    <n v="0"/>
    <x v="0"/>
    <n v="17"/>
    <n v="3"/>
    <n v="1"/>
    <n v="1"/>
    <n v="2"/>
    <n v="0"/>
    <n v="2"/>
    <n v="1"/>
    <n v="0"/>
    <n v="0"/>
    <n v="0"/>
    <s v="30-39"/>
  </r>
  <r>
    <n v="59"/>
    <x v="1"/>
    <s v="Travel_Frequently"/>
    <n v="1225"/>
    <x v="0"/>
    <n v="1"/>
    <n v="1"/>
    <s v="Life Sciences"/>
    <n v="91"/>
    <n v="1"/>
    <s v="Female"/>
    <n v="57"/>
    <n v="2"/>
    <n v="2"/>
    <x v="0"/>
    <n v="3"/>
    <s v="Single"/>
    <n v="5473"/>
    <n v="24668"/>
    <n v="7"/>
    <x v="1"/>
    <n v="11"/>
    <n v="3"/>
    <n v="4"/>
    <n v="0"/>
    <n v="20"/>
    <n v="2"/>
    <n v="2"/>
    <n v="4"/>
    <n v="3"/>
    <n v="1"/>
    <n v="3"/>
    <s v="50+"/>
  </r>
  <r>
    <n v="29"/>
    <x v="1"/>
    <s v="Travel_Rarely"/>
    <n v="1328"/>
    <x v="1"/>
    <n v="2"/>
    <n v="3"/>
    <s v="Life Sciences"/>
    <n v="94"/>
    <n v="3"/>
    <s v="Male"/>
    <n v="76"/>
    <n v="3"/>
    <n v="1"/>
    <x v="1"/>
    <n v="2"/>
    <s v="Married"/>
    <n v="2703"/>
    <n v="4956"/>
    <n v="0"/>
    <x v="1"/>
    <n v="23"/>
    <n v="4"/>
    <n v="4"/>
    <n v="1"/>
    <n v="6"/>
    <n v="3"/>
    <n v="3"/>
    <n v="5"/>
    <n v="4"/>
    <n v="0"/>
    <n v="4"/>
    <s v="Below 30"/>
  </r>
  <r>
    <n v="31"/>
    <x v="1"/>
    <s v="Travel_Rarely"/>
    <n v="1082"/>
    <x v="1"/>
    <n v="1"/>
    <n v="4"/>
    <s v="Medical"/>
    <n v="95"/>
    <n v="3"/>
    <s v="Male"/>
    <n v="87"/>
    <n v="3"/>
    <n v="1"/>
    <x v="1"/>
    <n v="2"/>
    <s v="Single"/>
    <n v="2501"/>
    <n v="18775"/>
    <n v="1"/>
    <x v="1"/>
    <n v="17"/>
    <n v="3"/>
    <n v="2"/>
    <n v="0"/>
    <n v="1"/>
    <n v="4"/>
    <n v="3"/>
    <n v="1"/>
    <n v="1"/>
    <n v="1"/>
    <n v="0"/>
    <s v="30-39"/>
  </r>
  <r>
    <n v="32"/>
    <x v="1"/>
    <s v="Travel_Rarely"/>
    <n v="548"/>
    <x v="1"/>
    <n v="1"/>
    <n v="3"/>
    <s v="Life Sciences"/>
    <n v="96"/>
    <n v="2"/>
    <s v="Male"/>
    <n v="66"/>
    <n v="3"/>
    <n v="2"/>
    <x v="1"/>
    <n v="2"/>
    <s v="Married"/>
    <n v="6220"/>
    <n v="7346"/>
    <n v="1"/>
    <x v="1"/>
    <n v="17"/>
    <n v="3"/>
    <n v="2"/>
    <n v="2"/>
    <n v="10"/>
    <n v="3"/>
    <n v="3"/>
    <n v="10"/>
    <n v="4"/>
    <n v="0"/>
    <n v="9"/>
    <s v="30-39"/>
  </r>
  <r>
    <n v="36"/>
    <x v="1"/>
    <s v="Travel_Rarely"/>
    <n v="132"/>
    <x v="1"/>
    <n v="6"/>
    <n v="3"/>
    <s v="Life Sciences"/>
    <n v="97"/>
    <n v="2"/>
    <s v="Female"/>
    <n v="55"/>
    <n v="4"/>
    <n v="1"/>
    <x v="2"/>
    <n v="4"/>
    <s v="Married"/>
    <n v="3038"/>
    <n v="22002"/>
    <n v="3"/>
    <x v="1"/>
    <n v="12"/>
    <n v="3"/>
    <n v="2"/>
    <n v="0"/>
    <n v="5"/>
    <n v="3"/>
    <n v="3"/>
    <n v="1"/>
    <n v="0"/>
    <n v="0"/>
    <n v="0"/>
    <s v="30-39"/>
  </r>
  <r>
    <n v="31"/>
    <x v="1"/>
    <s v="Travel_Rarely"/>
    <n v="746"/>
    <x v="1"/>
    <n v="8"/>
    <n v="4"/>
    <s v="Life Sciences"/>
    <n v="98"/>
    <n v="3"/>
    <s v="Female"/>
    <n v="61"/>
    <n v="3"/>
    <n v="2"/>
    <x v="3"/>
    <n v="4"/>
    <s v="Single"/>
    <n v="4424"/>
    <n v="20682"/>
    <n v="1"/>
    <x v="1"/>
    <n v="23"/>
    <n v="4"/>
    <n v="4"/>
    <n v="0"/>
    <n v="11"/>
    <n v="2"/>
    <n v="3"/>
    <n v="11"/>
    <n v="7"/>
    <n v="1"/>
    <n v="8"/>
    <s v="30-39"/>
  </r>
  <r>
    <n v="35"/>
    <x v="1"/>
    <s v="Travel_Rarely"/>
    <n v="776"/>
    <x v="0"/>
    <n v="1"/>
    <n v="4"/>
    <s v="Marketing"/>
    <n v="100"/>
    <n v="3"/>
    <s v="Male"/>
    <n v="32"/>
    <n v="2"/>
    <n v="2"/>
    <x v="0"/>
    <n v="1"/>
    <s v="Single"/>
    <n v="4312"/>
    <n v="23016"/>
    <n v="0"/>
    <x v="1"/>
    <n v="14"/>
    <n v="3"/>
    <n v="2"/>
    <n v="0"/>
    <n v="16"/>
    <n v="2"/>
    <n v="3"/>
    <n v="15"/>
    <n v="13"/>
    <n v="2"/>
    <n v="8"/>
    <s v="30-39"/>
  </r>
  <r>
    <n v="45"/>
    <x v="1"/>
    <s v="Travel_Rarely"/>
    <n v="193"/>
    <x v="1"/>
    <n v="6"/>
    <n v="4"/>
    <s v="Other"/>
    <n v="101"/>
    <n v="4"/>
    <s v="Male"/>
    <n v="52"/>
    <n v="3"/>
    <n v="3"/>
    <x v="7"/>
    <n v="1"/>
    <s v="Married"/>
    <n v="13245"/>
    <n v="15067"/>
    <n v="4"/>
    <x v="0"/>
    <n v="14"/>
    <n v="3"/>
    <n v="2"/>
    <n v="0"/>
    <n v="17"/>
    <n v="3"/>
    <n v="4"/>
    <n v="0"/>
    <n v="0"/>
    <n v="0"/>
    <n v="0"/>
    <s v="40-49"/>
  </r>
  <r>
    <n v="37"/>
    <x v="1"/>
    <s v="Travel_Rarely"/>
    <n v="397"/>
    <x v="1"/>
    <n v="7"/>
    <n v="4"/>
    <s v="Medical"/>
    <n v="102"/>
    <n v="1"/>
    <s v="Male"/>
    <n v="30"/>
    <n v="3"/>
    <n v="3"/>
    <x v="7"/>
    <n v="3"/>
    <s v="Single"/>
    <n v="13664"/>
    <n v="25258"/>
    <n v="4"/>
    <x v="1"/>
    <n v="13"/>
    <n v="3"/>
    <n v="1"/>
    <n v="0"/>
    <n v="16"/>
    <n v="3"/>
    <n v="4"/>
    <n v="5"/>
    <n v="2"/>
    <n v="0"/>
    <n v="2"/>
    <s v="30-39"/>
  </r>
  <r>
    <n v="46"/>
    <x v="1"/>
    <s v="Travel_Rarely"/>
    <n v="945"/>
    <x v="2"/>
    <n v="5"/>
    <n v="2"/>
    <s v="Medical"/>
    <n v="103"/>
    <n v="2"/>
    <s v="Male"/>
    <n v="80"/>
    <n v="3"/>
    <n v="2"/>
    <x v="8"/>
    <n v="2"/>
    <s v="Divorced"/>
    <n v="5021"/>
    <n v="10425"/>
    <n v="8"/>
    <x v="0"/>
    <n v="22"/>
    <n v="4"/>
    <n v="4"/>
    <n v="1"/>
    <n v="16"/>
    <n v="2"/>
    <n v="3"/>
    <n v="4"/>
    <n v="2"/>
    <n v="0"/>
    <n v="2"/>
    <s v="40-49"/>
  </r>
  <r>
    <n v="30"/>
    <x v="1"/>
    <s v="Travel_Rarely"/>
    <n v="852"/>
    <x v="1"/>
    <n v="1"/>
    <n v="1"/>
    <s v="Life Sciences"/>
    <n v="104"/>
    <n v="4"/>
    <s v="Male"/>
    <n v="55"/>
    <n v="2"/>
    <n v="2"/>
    <x v="2"/>
    <n v="4"/>
    <s v="Married"/>
    <n v="5126"/>
    <n v="15998"/>
    <n v="1"/>
    <x v="0"/>
    <n v="12"/>
    <n v="3"/>
    <n v="3"/>
    <n v="2"/>
    <n v="10"/>
    <n v="1"/>
    <n v="2"/>
    <n v="10"/>
    <n v="8"/>
    <n v="3"/>
    <n v="0"/>
    <s v="30-39"/>
  </r>
  <r>
    <n v="35"/>
    <x v="1"/>
    <s v="Travel_Rarely"/>
    <n v="1214"/>
    <x v="1"/>
    <n v="1"/>
    <n v="3"/>
    <s v="Medical"/>
    <n v="105"/>
    <n v="2"/>
    <s v="Male"/>
    <n v="30"/>
    <n v="2"/>
    <n v="1"/>
    <x v="1"/>
    <n v="3"/>
    <s v="Single"/>
    <n v="2859"/>
    <n v="26278"/>
    <n v="1"/>
    <x v="1"/>
    <n v="18"/>
    <n v="3"/>
    <n v="1"/>
    <n v="0"/>
    <n v="6"/>
    <n v="3"/>
    <n v="3"/>
    <n v="6"/>
    <n v="4"/>
    <n v="0"/>
    <n v="4"/>
    <s v="30-39"/>
  </r>
  <r>
    <n v="55"/>
    <x v="1"/>
    <s v="Travel_Rarely"/>
    <n v="111"/>
    <x v="0"/>
    <n v="1"/>
    <n v="2"/>
    <s v="Life Sciences"/>
    <n v="106"/>
    <n v="1"/>
    <s v="Male"/>
    <n v="70"/>
    <n v="3"/>
    <n v="3"/>
    <x v="0"/>
    <n v="4"/>
    <s v="Married"/>
    <n v="10239"/>
    <n v="18092"/>
    <n v="3"/>
    <x v="1"/>
    <n v="14"/>
    <n v="3"/>
    <n v="4"/>
    <n v="1"/>
    <n v="24"/>
    <n v="4"/>
    <n v="3"/>
    <n v="1"/>
    <n v="0"/>
    <n v="1"/>
    <n v="0"/>
    <s v="50+"/>
  </r>
  <r>
    <n v="38"/>
    <x v="1"/>
    <s v="Non-Travel"/>
    <n v="573"/>
    <x v="1"/>
    <n v="6"/>
    <n v="3"/>
    <s v="Medical"/>
    <n v="107"/>
    <n v="2"/>
    <s v="Female"/>
    <n v="79"/>
    <n v="1"/>
    <n v="2"/>
    <x v="1"/>
    <n v="4"/>
    <s v="Divorced"/>
    <n v="5329"/>
    <n v="15717"/>
    <n v="7"/>
    <x v="0"/>
    <n v="12"/>
    <n v="3"/>
    <n v="4"/>
    <n v="3"/>
    <n v="17"/>
    <n v="3"/>
    <n v="3"/>
    <n v="13"/>
    <n v="11"/>
    <n v="1"/>
    <n v="9"/>
    <s v="30-39"/>
  </r>
  <r>
    <n v="34"/>
    <x v="1"/>
    <s v="Travel_Rarely"/>
    <n v="1153"/>
    <x v="1"/>
    <n v="1"/>
    <n v="2"/>
    <s v="Medical"/>
    <n v="110"/>
    <n v="1"/>
    <s v="Male"/>
    <n v="94"/>
    <n v="3"/>
    <n v="2"/>
    <x v="3"/>
    <n v="2"/>
    <s v="Married"/>
    <n v="4325"/>
    <n v="17736"/>
    <n v="1"/>
    <x v="1"/>
    <n v="15"/>
    <n v="3"/>
    <n v="3"/>
    <n v="0"/>
    <n v="5"/>
    <n v="2"/>
    <n v="3"/>
    <n v="5"/>
    <n v="2"/>
    <n v="1"/>
    <n v="3"/>
    <s v="30-39"/>
  </r>
  <r>
    <n v="56"/>
    <x v="1"/>
    <s v="Travel_Rarely"/>
    <n v="1400"/>
    <x v="1"/>
    <n v="7"/>
    <n v="3"/>
    <s v="Life Sciences"/>
    <n v="112"/>
    <n v="4"/>
    <s v="Male"/>
    <n v="49"/>
    <n v="1"/>
    <n v="3"/>
    <x v="3"/>
    <n v="4"/>
    <s v="Single"/>
    <n v="7260"/>
    <n v="21698"/>
    <n v="4"/>
    <x v="1"/>
    <n v="11"/>
    <n v="3"/>
    <n v="1"/>
    <n v="0"/>
    <n v="37"/>
    <n v="3"/>
    <n v="2"/>
    <n v="6"/>
    <n v="4"/>
    <n v="0"/>
    <n v="2"/>
    <s v="50+"/>
  </r>
  <r>
    <n v="23"/>
    <x v="1"/>
    <s v="Travel_Rarely"/>
    <n v="541"/>
    <x v="0"/>
    <n v="2"/>
    <n v="1"/>
    <s v="Technical Degree"/>
    <n v="113"/>
    <n v="3"/>
    <s v="Male"/>
    <n v="62"/>
    <n v="3"/>
    <n v="1"/>
    <x v="6"/>
    <n v="1"/>
    <s v="Divorced"/>
    <n v="2322"/>
    <n v="9518"/>
    <n v="3"/>
    <x v="1"/>
    <n v="13"/>
    <n v="3"/>
    <n v="3"/>
    <n v="1"/>
    <n v="3"/>
    <n v="3"/>
    <n v="3"/>
    <n v="0"/>
    <n v="0"/>
    <n v="0"/>
    <n v="0"/>
    <s v="Below 30"/>
  </r>
  <r>
    <n v="51"/>
    <x v="1"/>
    <s v="Travel_Rarely"/>
    <n v="432"/>
    <x v="1"/>
    <n v="9"/>
    <n v="4"/>
    <s v="Life Sciences"/>
    <n v="116"/>
    <n v="4"/>
    <s v="Male"/>
    <n v="96"/>
    <n v="3"/>
    <n v="1"/>
    <x v="2"/>
    <n v="4"/>
    <s v="Married"/>
    <n v="2075"/>
    <n v="18725"/>
    <n v="3"/>
    <x v="1"/>
    <n v="23"/>
    <n v="4"/>
    <n v="2"/>
    <n v="2"/>
    <n v="10"/>
    <n v="4"/>
    <n v="3"/>
    <n v="4"/>
    <n v="2"/>
    <n v="0"/>
    <n v="3"/>
    <s v="50+"/>
  </r>
  <r>
    <n v="30"/>
    <x v="1"/>
    <s v="Travel_Rarely"/>
    <n v="288"/>
    <x v="1"/>
    <n v="2"/>
    <n v="3"/>
    <s v="Life Sciences"/>
    <n v="117"/>
    <n v="3"/>
    <s v="Male"/>
    <n v="99"/>
    <n v="2"/>
    <n v="2"/>
    <x v="4"/>
    <n v="4"/>
    <s v="Married"/>
    <n v="4152"/>
    <n v="15830"/>
    <n v="1"/>
    <x v="1"/>
    <n v="19"/>
    <n v="3"/>
    <n v="1"/>
    <n v="3"/>
    <n v="11"/>
    <n v="3"/>
    <n v="3"/>
    <n v="11"/>
    <n v="10"/>
    <n v="10"/>
    <n v="8"/>
    <s v="30-39"/>
  </r>
  <r>
    <n v="46"/>
    <x v="0"/>
    <s v="Travel_Rarely"/>
    <n v="669"/>
    <x v="0"/>
    <n v="9"/>
    <n v="2"/>
    <s v="Medical"/>
    <n v="118"/>
    <n v="3"/>
    <s v="Male"/>
    <n v="64"/>
    <n v="2"/>
    <n v="3"/>
    <x v="0"/>
    <n v="4"/>
    <s v="Single"/>
    <n v="9619"/>
    <n v="13596"/>
    <n v="1"/>
    <x v="1"/>
    <n v="16"/>
    <n v="3"/>
    <n v="4"/>
    <n v="0"/>
    <n v="9"/>
    <n v="3"/>
    <n v="3"/>
    <n v="9"/>
    <n v="8"/>
    <n v="4"/>
    <n v="7"/>
    <s v="40-49"/>
  </r>
  <r>
    <n v="40"/>
    <x v="1"/>
    <s v="Travel_Frequently"/>
    <n v="530"/>
    <x v="1"/>
    <n v="1"/>
    <n v="4"/>
    <s v="Life Sciences"/>
    <n v="119"/>
    <n v="3"/>
    <s v="Male"/>
    <n v="78"/>
    <n v="2"/>
    <n v="4"/>
    <x v="4"/>
    <n v="2"/>
    <s v="Married"/>
    <n v="13503"/>
    <n v="14115"/>
    <n v="1"/>
    <x v="1"/>
    <n v="22"/>
    <n v="4"/>
    <n v="4"/>
    <n v="1"/>
    <n v="22"/>
    <n v="3"/>
    <n v="2"/>
    <n v="22"/>
    <n v="3"/>
    <n v="11"/>
    <n v="11"/>
    <s v="40-49"/>
  </r>
  <r>
    <n v="51"/>
    <x v="1"/>
    <s v="Travel_Rarely"/>
    <n v="632"/>
    <x v="0"/>
    <n v="21"/>
    <n v="4"/>
    <s v="Marketing"/>
    <n v="120"/>
    <n v="3"/>
    <s v="Male"/>
    <n v="71"/>
    <n v="3"/>
    <n v="2"/>
    <x v="0"/>
    <n v="4"/>
    <s v="Single"/>
    <n v="5441"/>
    <n v="8423"/>
    <n v="0"/>
    <x v="0"/>
    <n v="22"/>
    <n v="4"/>
    <n v="4"/>
    <n v="0"/>
    <n v="11"/>
    <n v="2"/>
    <n v="1"/>
    <n v="10"/>
    <n v="7"/>
    <n v="1"/>
    <n v="0"/>
    <s v="50+"/>
  </r>
  <r>
    <n v="30"/>
    <x v="1"/>
    <s v="Travel_Rarely"/>
    <n v="1334"/>
    <x v="0"/>
    <n v="4"/>
    <n v="2"/>
    <s v="Medical"/>
    <n v="121"/>
    <n v="3"/>
    <s v="Female"/>
    <n v="63"/>
    <n v="2"/>
    <n v="2"/>
    <x v="0"/>
    <n v="2"/>
    <s v="Divorced"/>
    <n v="5209"/>
    <n v="19760"/>
    <n v="1"/>
    <x v="0"/>
    <n v="12"/>
    <n v="3"/>
    <n v="2"/>
    <n v="3"/>
    <n v="11"/>
    <n v="4"/>
    <n v="2"/>
    <n v="11"/>
    <n v="8"/>
    <n v="2"/>
    <n v="7"/>
    <s v="30-39"/>
  </r>
  <r>
    <n v="46"/>
    <x v="1"/>
    <s v="Travel_Frequently"/>
    <n v="638"/>
    <x v="1"/>
    <n v="1"/>
    <n v="3"/>
    <s v="Medical"/>
    <n v="124"/>
    <n v="3"/>
    <s v="Male"/>
    <n v="40"/>
    <n v="2"/>
    <n v="3"/>
    <x v="4"/>
    <n v="1"/>
    <s v="Married"/>
    <n v="10673"/>
    <n v="3142"/>
    <n v="2"/>
    <x v="0"/>
    <n v="13"/>
    <n v="3"/>
    <n v="3"/>
    <n v="1"/>
    <n v="21"/>
    <n v="5"/>
    <n v="2"/>
    <n v="10"/>
    <n v="9"/>
    <n v="9"/>
    <n v="5"/>
    <s v="40-49"/>
  </r>
  <r>
    <n v="32"/>
    <x v="1"/>
    <s v="Travel_Rarely"/>
    <n v="1093"/>
    <x v="0"/>
    <n v="6"/>
    <n v="4"/>
    <s v="Medical"/>
    <n v="125"/>
    <n v="2"/>
    <s v="Male"/>
    <n v="87"/>
    <n v="3"/>
    <n v="2"/>
    <x v="0"/>
    <n v="3"/>
    <s v="Single"/>
    <n v="5010"/>
    <n v="24301"/>
    <n v="1"/>
    <x v="1"/>
    <n v="16"/>
    <n v="3"/>
    <n v="1"/>
    <n v="0"/>
    <n v="12"/>
    <n v="0"/>
    <n v="3"/>
    <n v="11"/>
    <n v="8"/>
    <n v="5"/>
    <n v="7"/>
    <s v="30-39"/>
  </r>
  <r>
    <n v="54"/>
    <x v="1"/>
    <s v="Travel_Rarely"/>
    <n v="1217"/>
    <x v="1"/>
    <n v="2"/>
    <n v="4"/>
    <s v="Technical Degree"/>
    <n v="126"/>
    <n v="1"/>
    <s v="Female"/>
    <n v="60"/>
    <n v="3"/>
    <n v="3"/>
    <x v="7"/>
    <n v="3"/>
    <s v="Married"/>
    <n v="13549"/>
    <n v="24001"/>
    <n v="9"/>
    <x v="1"/>
    <n v="12"/>
    <n v="3"/>
    <n v="1"/>
    <n v="1"/>
    <n v="16"/>
    <n v="5"/>
    <n v="1"/>
    <n v="4"/>
    <n v="3"/>
    <n v="0"/>
    <n v="3"/>
    <s v="50+"/>
  </r>
  <r>
    <n v="24"/>
    <x v="1"/>
    <s v="Travel_Rarely"/>
    <n v="1353"/>
    <x v="0"/>
    <n v="3"/>
    <n v="2"/>
    <s v="Other"/>
    <n v="128"/>
    <n v="1"/>
    <s v="Female"/>
    <n v="33"/>
    <n v="3"/>
    <n v="2"/>
    <x v="0"/>
    <n v="3"/>
    <s v="Married"/>
    <n v="4999"/>
    <n v="17519"/>
    <n v="0"/>
    <x v="1"/>
    <n v="21"/>
    <n v="4"/>
    <n v="1"/>
    <n v="1"/>
    <n v="4"/>
    <n v="2"/>
    <n v="2"/>
    <n v="3"/>
    <n v="2"/>
    <n v="0"/>
    <n v="2"/>
    <s v="Below 30"/>
  </r>
  <r>
    <n v="28"/>
    <x v="1"/>
    <s v="Non-Travel"/>
    <n v="120"/>
    <x v="0"/>
    <n v="4"/>
    <n v="3"/>
    <s v="Medical"/>
    <n v="129"/>
    <n v="2"/>
    <s v="Male"/>
    <n v="43"/>
    <n v="3"/>
    <n v="2"/>
    <x v="0"/>
    <n v="3"/>
    <s v="Married"/>
    <n v="4221"/>
    <n v="8863"/>
    <n v="1"/>
    <x v="1"/>
    <n v="15"/>
    <n v="3"/>
    <n v="2"/>
    <n v="0"/>
    <n v="5"/>
    <n v="3"/>
    <n v="4"/>
    <n v="5"/>
    <n v="4"/>
    <n v="0"/>
    <n v="4"/>
    <s v="Below 30"/>
  </r>
  <r>
    <n v="58"/>
    <x v="1"/>
    <s v="Travel_Rarely"/>
    <n v="682"/>
    <x v="0"/>
    <n v="10"/>
    <n v="4"/>
    <s v="Medical"/>
    <n v="131"/>
    <n v="4"/>
    <s v="Male"/>
    <n v="37"/>
    <n v="3"/>
    <n v="4"/>
    <x v="0"/>
    <n v="3"/>
    <s v="Single"/>
    <n v="13872"/>
    <n v="24409"/>
    <n v="0"/>
    <x v="1"/>
    <n v="13"/>
    <n v="3"/>
    <n v="3"/>
    <n v="0"/>
    <n v="38"/>
    <n v="1"/>
    <n v="2"/>
    <n v="37"/>
    <n v="10"/>
    <n v="1"/>
    <n v="8"/>
    <s v="50+"/>
  </r>
  <r>
    <n v="44"/>
    <x v="1"/>
    <s v="Non-Travel"/>
    <n v="489"/>
    <x v="1"/>
    <n v="23"/>
    <n v="3"/>
    <s v="Medical"/>
    <n v="132"/>
    <n v="2"/>
    <s v="Male"/>
    <n v="67"/>
    <n v="3"/>
    <n v="2"/>
    <x v="2"/>
    <n v="2"/>
    <s v="Married"/>
    <n v="2042"/>
    <n v="25043"/>
    <n v="4"/>
    <x v="1"/>
    <n v="12"/>
    <n v="3"/>
    <n v="3"/>
    <n v="1"/>
    <n v="17"/>
    <n v="3"/>
    <n v="4"/>
    <n v="3"/>
    <n v="2"/>
    <n v="1"/>
    <n v="2"/>
    <s v="40-49"/>
  </r>
  <r>
    <n v="37"/>
    <x v="0"/>
    <s v="Travel_Rarely"/>
    <n v="807"/>
    <x v="2"/>
    <n v="6"/>
    <n v="4"/>
    <s v="Human Resources"/>
    <n v="133"/>
    <n v="3"/>
    <s v="Male"/>
    <n v="63"/>
    <n v="3"/>
    <n v="1"/>
    <x v="8"/>
    <n v="1"/>
    <s v="Divorced"/>
    <n v="2073"/>
    <n v="23648"/>
    <n v="4"/>
    <x v="0"/>
    <n v="22"/>
    <n v="4"/>
    <n v="4"/>
    <n v="0"/>
    <n v="7"/>
    <n v="3"/>
    <n v="3"/>
    <n v="3"/>
    <n v="2"/>
    <n v="0"/>
    <n v="2"/>
    <s v="30-39"/>
  </r>
  <r>
    <n v="32"/>
    <x v="1"/>
    <s v="Travel_Rarely"/>
    <n v="827"/>
    <x v="1"/>
    <n v="1"/>
    <n v="1"/>
    <s v="Life Sciences"/>
    <n v="134"/>
    <n v="4"/>
    <s v="Male"/>
    <n v="71"/>
    <n v="3"/>
    <n v="1"/>
    <x v="1"/>
    <n v="1"/>
    <s v="Single"/>
    <n v="2956"/>
    <n v="15178"/>
    <n v="1"/>
    <x v="1"/>
    <n v="13"/>
    <n v="3"/>
    <n v="4"/>
    <n v="0"/>
    <n v="1"/>
    <n v="2"/>
    <n v="3"/>
    <n v="1"/>
    <n v="0"/>
    <n v="0"/>
    <n v="0"/>
    <s v="30-39"/>
  </r>
  <r>
    <n v="20"/>
    <x v="0"/>
    <s v="Travel_Frequently"/>
    <n v="871"/>
    <x v="1"/>
    <n v="6"/>
    <n v="3"/>
    <s v="Life Sciences"/>
    <n v="137"/>
    <n v="4"/>
    <s v="Female"/>
    <n v="66"/>
    <n v="2"/>
    <n v="1"/>
    <x v="2"/>
    <n v="4"/>
    <s v="Single"/>
    <n v="2926"/>
    <n v="19783"/>
    <n v="1"/>
    <x v="0"/>
    <n v="18"/>
    <n v="3"/>
    <n v="2"/>
    <n v="0"/>
    <n v="1"/>
    <n v="5"/>
    <n v="3"/>
    <n v="1"/>
    <n v="0"/>
    <n v="1"/>
    <n v="0"/>
    <s v="Below 30"/>
  </r>
  <r>
    <n v="34"/>
    <x v="1"/>
    <s v="Travel_Rarely"/>
    <n v="665"/>
    <x v="1"/>
    <n v="6"/>
    <n v="4"/>
    <s v="Other"/>
    <n v="138"/>
    <n v="1"/>
    <s v="Female"/>
    <n v="41"/>
    <n v="3"/>
    <n v="2"/>
    <x v="1"/>
    <n v="3"/>
    <s v="Single"/>
    <n v="4809"/>
    <n v="12482"/>
    <n v="1"/>
    <x v="1"/>
    <n v="14"/>
    <n v="3"/>
    <n v="3"/>
    <n v="0"/>
    <n v="16"/>
    <n v="3"/>
    <n v="3"/>
    <n v="16"/>
    <n v="13"/>
    <n v="2"/>
    <n v="10"/>
    <s v="30-39"/>
  </r>
  <r>
    <n v="37"/>
    <x v="1"/>
    <s v="Non-Travel"/>
    <n v="1040"/>
    <x v="1"/>
    <n v="2"/>
    <n v="2"/>
    <s v="Life Sciences"/>
    <n v="139"/>
    <n v="3"/>
    <s v="Male"/>
    <n v="100"/>
    <n v="2"/>
    <n v="2"/>
    <x v="4"/>
    <n v="4"/>
    <s v="Divorced"/>
    <n v="5163"/>
    <n v="15850"/>
    <n v="5"/>
    <x v="1"/>
    <n v="14"/>
    <n v="3"/>
    <n v="4"/>
    <n v="1"/>
    <n v="17"/>
    <n v="2"/>
    <n v="4"/>
    <n v="1"/>
    <n v="0"/>
    <n v="0"/>
    <n v="0"/>
    <s v="30-39"/>
  </r>
  <r>
    <n v="59"/>
    <x v="1"/>
    <s v="Non-Travel"/>
    <n v="1420"/>
    <x v="2"/>
    <n v="2"/>
    <n v="4"/>
    <s v="Human Resources"/>
    <n v="140"/>
    <n v="3"/>
    <s v="Female"/>
    <n v="32"/>
    <n v="2"/>
    <n v="5"/>
    <x v="5"/>
    <n v="4"/>
    <s v="Married"/>
    <n v="18844"/>
    <n v="21922"/>
    <n v="9"/>
    <x v="1"/>
    <n v="21"/>
    <n v="4"/>
    <n v="4"/>
    <n v="1"/>
    <n v="30"/>
    <n v="3"/>
    <n v="3"/>
    <n v="3"/>
    <n v="2"/>
    <n v="2"/>
    <n v="2"/>
    <s v="50+"/>
  </r>
  <r>
    <n v="50"/>
    <x v="1"/>
    <s v="Travel_Frequently"/>
    <n v="1115"/>
    <x v="1"/>
    <n v="1"/>
    <n v="3"/>
    <s v="Life Sciences"/>
    <n v="141"/>
    <n v="1"/>
    <s v="Female"/>
    <n v="73"/>
    <n v="3"/>
    <n v="5"/>
    <x v="7"/>
    <n v="2"/>
    <s v="Married"/>
    <n v="18172"/>
    <n v="9755"/>
    <n v="3"/>
    <x v="0"/>
    <n v="19"/>
    <n v="3"/>
    <n v="1"/>
    <n v="0"/>
    <n v="28"/>
    <n v="1"/>
    <n v="2"/>
    <n v="8"/>
    <n v="3"/>
    <n v="0"/>
    <n v="7"/>
    <s v="50+"/>
  </r>
  <r>
    <n v="25"/>
    <x v="0"/>
    <s v="Travel_Rarely"/>
    <n v="240"/>
    <x v="0"/>
    <n v="5"/>
    <n v="3"/>
    <s v="Marketing"/>
    <n v="142"/>
    <n v="3"/>
    <s v="Male"/>
    <n v="46"/>
    <n v="2"/>
    <n v="2"/>
    <x v="0"/>
    <n v="3"/>
    <s v="Single"/>
    <n v="5744"/>
    <n v="26959"/>
    <n v="1"/>
    <x v="0"/>
    <n v="11"/>
    <n v="3"/>
    <n v="4"/>
    <n v="0"/>
    <n v="6"/>
    <n v="1"/>
    <n v="3"/>
    <n v="6"/>
    <n v="4"/>
    <n v="0"/>
    <n v="3"/>
    <s v="Below 30"/>
  </r>
  <r>
    <n v="25"/>
    <x v="1"/>
    <s v="Travel_Rarely"/>
    <n v="1280"/>
    <x v="1"/>
    <n v="7"/>
    <n v="1"/>
    <s v="Medical"/>
    <n v="143"/>
    <n v="4"/>
    <s v="Male"/>
    <n v="64"/>
    <n v="2"/>
    <n v="1"/>
    <x v="1"/>
    <n v="4"/>
    <s v="Married"/>
    <n v="2889"/>
    <n v="26897"/>
    <n v="1"/>
    <x v="1"/>
    <n v="11"/>
    <n v="3"/>
    <n v="3"/>
    <n v="2"/>
    <n v="2"/>
    <n v="2"/>
    <n v="3"/>
    <n v="2"/>
    <n v="2"/>
    <n v="2"/>
    <n v="1"/>
    <s v="Below 30"/>
  </r>
  <r>
    <n v="22"/>
    <x v="1"/>
    <s v="Travel_Rarely"/>
    <n v="534"/>
    <x v="1"/>
    <n v="15"/>
    <n v="3"/>
    <s v="Medical"/>
    <n v="144"/>
    <n v="2"/>
    <s v="Female"/>
    <n v="59"/>
    <n v="3"/>
    <n v="1"/>
    <x v="2"/>
    <n v="4"/>
    <s v="Single"/>
    <n v="2871"/>
    <n v="23785"/>
    <n v="1"/>
    <x v="1"/>
    <n v="15"/>
    <n v="3"/>
    <n v="3"/>
    <n v="0"/>
    <n v="1"/>
    <n v="5"/>
    <n v="3"/>
    <n v="0"/>
    <n v="0"/>
    <n v="0"/>
    <n v="0"/>
    <s v="Below 30"/>
  </r>
  <r>
    <n v="51"/>
    <x v="1"/>
    <s v="Travel_Frequently"/>
    <n v="1456"/>
    <x v="1"/>
    <n v="1"/>
    <n v="4"/>
    <s v="Medical"/>
    <n v="145"/>
    <n v="1"/>
    <s v="Female"/>
    <n v="30"/>
    <n v="2"/>
    <n v="3"/>
    <x v="4"/>
    <n v="1"/>
    <s v="Single"/>
    <n v="7484"/>
    <n v="25796"/>
    <n v="3"/>
    <x v="1"/>
    <n v="20"/>
    <n v="4"/>
    <n v="3"/>
    <n v="0"/>
    <n v="23"/>
    <n v="1"/>
    <n v="2"/>
    <n v="13"/>
    <n v="12"/>
    <n v="12"/>
    <n v="8"/>
    <s v="50+"/>
  </r>
  <r>
    <n v="34"/>
    <x v="0"/>
    <s v="Travel_Frequently"/>
    <n v="658"/>
    <x v="1"/>
    <n v="7"/>
    <n v="3"/>
    <s v="Life Sciences"/>
    <n v="147"/>
    <n v="1"/>
    <s v="Male"/>
    <n v="66"/>
    <n v="1"/>
    <n v="2"/>
    <x v="2"/>
    <n v="3"/>
    <s v="Single"/>
    <n v="6074"/>
    <n v="22887"/>
    <n v="1"/>
    <x v="0"/>
    <n v="24"/>
    <n v="4"/>
    <n v="4"/>
    <n v="0"/>
    <n v="9"/>
    <n v="3"/>
    <n v="3"/>
    <n v="9"/>
    <n v="7"/>
    <n v="0"/>
    <n v="6"/>
    <s v="30-39"/>
  </r>
  <r>
    <n v="54"/>
    <x v="1"/>
    <s v="Non-Travel"/>
    <n v="142"/>
    <x v="2"/>
    <n v="26"/>
    <n v="3"/>
    <s v="Human Resources"/>
    <n v="148"/>
    <n v="4"/>
    <s v="Female"/>
    <n v="30"/>
    <n v="4"/>
    <n v="4"/>
    <x v="5"/>
    <n v="4"/>
    <s v="Single"/>
    <n v="17328"/>
    <n v="13871"/>
    <n v="2"/>
    <x v="0"/>
    <n v="12"/>
    <n v="3"/>
    <n v="3"/>
    <n v="0"/>
    <n v="23"/>
    <n v="3"/>
    <n v="3"/>
    <n v="5"/>
    <n v="3"/>
    <n v="4"/>
    <n v="4"/>
    <s v="50+"/>
  </r>
  <r>
    <n v="24"/>
    <x v="1"/>
    <s v="Travel_Rarely"/>
    <n v="1127"/>
    <x v="1"/>
    <n v="18"/>
    <n v="1"/>
    <s v="Life Sciences"/>
    <n v="150"/>
    <n v="2"/>
    <s v="Male"/>
    <n v="52"/>
    <n v="3"/>
    <n v="1"/>
    <x v="2"/>
    <n v="3"/>
    <s v="Married"/>
    <n v="2774"/>
    <n v="13257"/>
    <n v="0"/>
    <x v="1"/>
    <n v="12"/>
    <n v="3"/>
    <n v="3"/>
    <n v="1"/>
    <n v="6"/>
    <n v="2"/>
    <n v="3"/>
    <n v="5"/>
    <n v="3"/>
    <n v="1"/>
    <n v="2"/>
    <s v="Below 30"/>
  </r>
  <r>
    <n v="34"/>
    <x v="1"/>
    <s v="Travel_Rarely"/>
    <n v="1031"/>
    <x v="1"/>
    <n v="6"/>
    <n v="4"/>
    <s v="Life Sciences"/>
    <n v="151"/>
    <n v="3"/>
    <s v="Female"/>
    <n v="45"/>
    <n v="2"/>
    <n v="2"/>
    <x v="1"/>
    <n v="2"/>
    <s v="Divorced"/>
    <n v="4505"/>
    <n v="15000"/>
    <n v="6"/>
    <x v="1"/>
    <n v="15"/>
    <n v="3"/>
    <n v="3"/>
    <n v="1"/>
    <n v="12"/>
    <n v="3"/>
    <n v="3"/>
    <n v="1"/>
    <n v="0"/>
    <n v="0"/>
    <n v="0"/>
    <s v="30-39"/>
  </r>
  <r>
    <n v="37"/>
    <x v="1"/>
    <s v="Travel_Rarely"/>
    <n v="1189"/>
    <x v="0"/>
    <n v="3"/>
    <n v="3"/>
    <s v="Life Sciences"/>
    <n v="152"/>
    <n v="3"/>
    <s v="Male"/>
    <n v="87"/>
    <n v="3"/>
    <n v="3"/>
    <x v="0"/>
    <n v="4"/>
    <s v="Single"/>
    <n v="7428"/>
    <n v="14506"/>
    <n v="2"/>
    <x v="1"/>
    <n v="12"/>
    <n v="3"/>
    <n v="1"/>
    <n v="0"/>
    <n v="12"/>
    <n v="3"/>
    <n v="3"/>
    <n v="5"/>
    <n v="3"/>
    <n v="1"/>
    <n v="3"/>
    <s v="30-39"/>
  </r>
  <r>
    <n v="34"/>
    <x v="1"/>
    <s v="Travel_Rarely"/>
    <n v="1354"/>
    <x v="1"/>
    <n v="5"/>
    <n v="3"/>
    <s v="Medical"/>
    <n v="153"/>
    <n v="3"/>
    <s v="Female"/>
    <n v="45"/>
    <n v="2"/>
    <n v="3"/>
    <x v="5"/>
    <n v="1"/>
    <s v="Single"/>
    <n v="11631"/>
    <n v="5615"/>
    <n v="2"/>
    <x v="1"/>
    <n v="12"/>
    <n v="3"/>
    <n v="4"/>
    <n v="0"/>
    <n v="14"/>
    <n v="6"/>
    <n v="3"/>
    <n v="11"/>
    <n v="10"/>
    <n v="5"/>
    <n v="8"/>
    <s v="30-39"/>
  </r>
  <r>
    <n v="36"/>
    <x v="1"/>
    <s v="Travel_Frequently"/>
    <n v="1467"/>
    <x v="0"/>
    <n v="11"/>
    <n v="2"/>
    <s v="Technical Degree"/>
    <n v="154"/>
    <n v="2"/>
    <s v="Female"/>
    <n v="92"/>
    <n v="3"/>
    <n v="3"/>
    <x v="0"/>
    <n v="4"/>
    <s v="Married"/>
    <n v="9738"/>
    <n v="22952"/>
    <n v="0"/>
    <x v="1"/>
    <n v="14"/>
    <n v="3"/>
    <n v="3"/>
    <n v="1"/>
    <n v="10"/>
    <n v="6"/>
    <n v="3"/>
    <n v="9"/>
    <n v="7"/>
    <n v="2"/>
    <n v="8"/>
    <s v="30-39"/>
  </r>
  <r>
    <n v="36"/>
    <x v="1"/>
    <s v="Travel_Rarely"/>
    <n v="922"/>
    <x v="1"/>
    <n v="3"/>
    <n v="2"/>
    <s v="Life Sciences"/>
    <n v="155"/>
    <n v="1"/>
    <s v="Female"/>
    <n v="39"/>
    <n v="3"/>
    <n v="1"/>
    <x v="2"/>
    <n v="4"/>
    <s v="Divorced"/>
    <n v="2835"/>
    <n v="2561"/>
    <n v="5"/>
    <x v="1"/>
    <n v="22"/>
    <n v="4"/>
    <n v="1"/>
    <n v="1"/>
    <n v="7"/>
    <n v="2"/>
    <n v="3"/>
    <n v="1"/>
    <n v="0"/>
    <n v="0"/>
    <n v="0"/>
    <s v="30-39"/>
  </r>
  <r>
    <n v="43"/>
    <x v="1"/>
    <s v="Travel_Frequently"/>
    <n v="394"/>
    <x v="0"/>
    <n v="26"/>
    <n v="2"/>
    <s v="Life Sciences"/>
    <n v="158"/>
    <n v="3"/>
    <s v="Male"/>
    <n v="92"/>
    <n v="3"/>
    <n v="4"/>
    <x v="5"/>
    <n v="4"/>
    <s v="Married"/>
    <n v="16959"/>
    <n v="19494"/>
    <n v="1"/>
    <x v="0"/>
    <n v="12"/>
    <n v="3"/>
    <n v="4"/>
    <n v="2"/>
    <n v="25"/>
    <n v="3"/>
    <n v="4"/>
    <n v="25"/>
    <n v="12"/>
    <n v="4"/>
    <n v="12"/>
    <s v="40-49"/>
  </r>
  <r>
    <n v="30"/>
    <x v="1"/>
    <s v="Travel_Frequently"/>
    <n v="1312"/>
    <x v="1"/>
    <n v="23"/>
    <n v="3"/>
    <s v="Life Sciences"/>
    <n v="159"/>
    <n v="1"/>
    <s v="Male"/>
    <n v="96"/>
    <n v="1"/>
    <n v="1"/>
    <x v="1"/>
    <n v="3"/>
    <s v="Divorced"/>
    <n v="2613"/>
    <n v="22310"/>
    <n v="1"/>
    <x v="1"/>
    <n v="25"/>
    <n v="4"/>
    <n v="3"/>
    <n v="3"/>
    <n v="10"/>
    <n v="2"/>
    <n v="2"/>
    <n v="10"/>
    <n v="7"/>
    <n v="0"/>
    <n v="9"/>
    <s v="30-39"/>
  </r>
  <r>
    <n v="33"/>
    <x v="1"/>
    <s v="Non-Travel"/>
    <n v="750"/>
    <x v="0"/>
    <n v="22"/>
    <n v="2"/>
    <s v="Marketing"/>
    <n v="160"/>
    <n v="3"/>
    <s v="Male"/>
    <n v="95"/>
    <n v="3"/>
    <n v="2"/>
    <x v="0"/>
    <n v="2"/>
    <s v="Married"/>
    <n v="6146"/>
    <n v="15480"/>
    <n v="0"/>
    <x v="1"/>
    <n v="13"/>
    <n v="3"/>
    <n v="1"/>
    <n v="1"/>
    <n v="8"/>
    <n v="2"/>
    <n v="4"/>
    <n v="7"/>
    <n v="7"/>
    <n v="0"/>
    <n v="7"/>
    <s v="30-39"/>
  </r>
  <r>
    <n v="56"/>
    <x v="0"/>
    <s v="Travel_Rarely"/>
    <n v="441"/>
    <x v="1"/>
    <n v="14"/>
    <n v="4"/>
    <s v="Life Sciences"/>
    <n v="161"/>
    <n v="2"/>
    <s v="Female"/>
    <n v="72"/>
    <n v="3"/>
    <n v="1"/>
    <x v="1"/>
    <n v="2"/>
    <s v="Married"/>
    <n v="4963"/>
    <n v="4510"/>
    <n v="9"/>
    <x v="0"/>
    <n v="18"/>
    <n v="3"/>
    <n v="1"/>
    <n v="3"/>
    <n v="7"/>
    <n v="2"/>
    <n v="3"/>
    <n v="5"/>
    <n v="4"/>
    <n v="4"/>
    <n v="3"/>
    <s v="50+"/>
  </r>
  <r>
    <n v="51"/>
    <x v="1"/>
    <s v="Travel_Rarely"/>
    <n v="684"/>
    <x v="1"/>
    <n v="6"/>
    <n v="3"/>
    <s v="Life Sciences"/>
    <n v="162"/>
    <n v="1"/>
    <s v="Male"/>
    <n v="51"/>
    <n v="3"/>
    <n v="5"/>
    <x v="7"/>
    <n v="3"/>
    <s v="Single"/>
    <n v="19537"/>
    <n v="6462"/>
    <n v="7"/>
    <x v="1"/>
    <n v="13"/>
    <n v="3"/>
    <n v="3"/>
    <n v="0"/>
    <n v="23"/>
    <n v="5"/>
    <n v="3"/>
    <n v="20"/>
    <n v="18"/>
    <n v="15"/>
    <n v="15"/>
    <s v="50+"/>
  </r>
  <r>
    <n v="31"/>
    <x v="0"/>
    <s v="Travel_Rarely"/>
    <n v="249"/>
    <x v="0"/>
    <n v="6"/>
    <n v="4"/>
    <s v="Life Sciences"/>
    <n v="163"/>
    <n v="2"/>
    <s v="Male"/>
    <n v="76"/>
    <n v="1"/>
    <n v="2"/>
    <x v="0"/>
    <n v="3"/>
    <s v="Married"/>
    <n v="6172"/>
    <n v="20739"/>
    <n v="4"/>
    <x v="0"/>
    <n v="18"/>
    <n v="3"/>
    <n v="2"/>
    <n v="0"/>
    <n v="12"/>
    <n v="3"/>
    <n v="2"/>
    <n v="7"/>
    <n v="7"/>
    <n v="7"/>
    <n v="7"/>
    <s v="30-39"/>
  </r>
  <r>
    <n v="26"/>
    <x v="1"/>
    <s v="Travel_Rarely"/>
    <n v="841"/>
    <x v="1"/>
    <n v="6"/>
    <n v="3"/>
    <s v="Other"/>
    <n v="164"/>
    <n v="3"/>
    <s v="Female"/>
    <n v="46"/>
    <n v="2"/>
    <n v="1"/>
    <x v="1"/>
    <n v="2"/>
    <s v="Married"/>
    <n v="2368"/>
    <n v="23300"/>
    <n v="1"/>
    <x v="1"/>
    <n v="19"/>
    <n v="3"/>
    <n v="3"/>
    <n v="0"/>
    <n v="5"/>
    <n v="3"/>
    <n v="2"/>
    <n v="5"/>
    <n v="4"/>
    <n v="4"/>
    <n v="3"/>
    <s v="Below 30"/>
  </r>
  <r>
    <n v="58"/>
    <x v="0"/>
    <s v="Travel_Rarely"/>
    <n v="147"/>
    <x v="1"/>
    <n v="23"/>
    <n v="4"/>
    <s v="Medical"/>
    <n v="165"/>
    <n v="4"/>
    <s v="Female"/>
    <n v="94"/>
    <n v="3"/>
    <n v="3"/>
    <x v="4"/>
    <n v="4"/>
    <s v="Married"/>
    <n v="10312"/>
    <n v="3465"/>
    <n v="1"/>
    <x v="1"/>
    <n v="12"/>
    <n v="3"/>
    <n v="4"/>
    <n v="1"/>
    <n v="40"/>
    <n v="3"/>
    <n v="2"/>
    <n v="40"/>
    <n v="10"/>
    <n v="15"/>
    <n v="6"/>
    <s v="50+"/>
  </r>
  <r>
    <n v="19"/>
    <x v="0"/>
    <s v="Travel_Rarely"/>
    <n v="528"/>
    <x v="0"/>
    <n v="22"/>
    <n v="1"/>
    <s v="Marketing"/>
    <n v="167"/>
    <n v="4"/>
    <s v="Male"/>
    <n v="50"/>
    <n v="3"/>
    <n v="1"/>
    <x v="6"/>
    <n v="3"/>
    <s v="Single"/>
    <n v="1675"/>
    <n v="26820"/>
    <n v="1"/>
    <x v="0"/>
    <n v="19"/>
    <n v="3"/>
    <n v="4"/>
    <n v="0"/>
    <n v="0"/>
    <n v="2"/>
    <n v="2"/>
    <n v="0"/>
    <n v="0"/>
    <n v="0"/>
    <n v="0"/>
    <s v="Below 30"/>
  </r>
  <r>
    <n v="22"/>
    <x v="1"/>
    <s v="Travel_Rarely"/>
    <n v="594"/>
    <x v="1"/>
    <n v="2"/>
    <n v="1"/>
    <s v="Technical Degree"/>
    <n v="169"/>
    <n v="3"/>
    <s v="Male"/>
    <n v="100"/>
    <n v="3"/>
    <n v="1"/>
    <x v="2"/>
    <n v="4"/>
    <s v="Married"/>
    <n v="2523"/>
    <n v="19299"/>
    <n v="0"/>
    <x v="1"/>
    <n v="14"/>
    <n v="3"/>
    <n v="3"/>
    <n v="1"/>
    <n v="3"/>
    <n v="2"/>
    <n v="3"/>
    <n v="2"/>
    <n v="1"/>
    <n v="2"/>
    <n v="1"/>
    <s v="Below 30"/>
  </r>
  <r>
    <n v="49"/>
    <x v="1"/>
    <s v="Travel_Rarely"/>
    <n v="470"/>
    <x v="1"/>
    <n v="20"/>
    <n v="4"/>
    <s v="Medical"/>
    <n v="170"/>
    <n v="3"/>
    <s v="Female"/>
    <n v="96"/>
    <n v="3"/>
    <n v="2"/>
    <x v="3"/>
    <n v="1"/>
    <s v="Married"/>
    <n v="6567"/>
    <n v="5549"/>
    <n v="1"/>
    <x v="1"/>
    <n v="14"/>
    <n v="3"/>
    <n v="3"/>
    <n v="0"/>
    <n v="16"/>
    <n v="2"/>
    <n v="2"/>
    <n v="15"/>
    <n v="11"/>
    <n v="5"/>
    <n v="11"/>
    <s v="40-49"/>
  </r>
  <r>
    <n v="43"/>
    <x v="1"/>
    <s v="Travel_Frequently"/>
    <n v="957"/>
    <x v="1"/>
    <n v="28"/>
    <n v="3"/>
    <s v="Medical"/>
    <n v="171"/>
    <n v="2"/>
    <s v="Female"/>
    <n v="72"/>
    <n v="4"/>
    <n v="1"/>
    <x v="1"/>
    <n v="3"/>
    <s v="Single"/>
    <n v="4739"/>
    <n v="16090"/>
    <n v="4"/>
    <x v="1"/>
    <n v="12"/>
    <n v="3"/>
    <n v="4"/>
    <n v="0"/>
    <n v="18"/>
    <n v="2"/>
    <n v="3"/>
    <n v="3"/>
    <n v="2"/>
    <n v="1"/>
    <n v="2"/>
    <s v="40-49"/>
  </r>
  <r>
    <n v="50"/>
    <x v="1"/>
    <s v="Travel_Frequently"/>
    <n v="809"/>
    <x v="0"/>
    <n v="12"/>
    <n v="3"/>
    <s v="Marketing"/>
    <n v="174"/>
    <n v="3"/>
    <s v="Female"/>
    <n v="77"/>
    <n v="3"/>
    <n v="3"/>
    <x v="0"/>
    <n v="4"/>
    <s v="Single"/>
    <n v="9208"/>
    <n v="6645"/>
    <n v="4"/>
    <x v="1"/>
    <n v="11"/>
    <n v="3"/>
    <n v="4"/>
    <n v="0"/>
    <n v="16"/>
    <n v="3"/>
    <n v="3"/>
    <n v="2"/>
    <n v="2"/>
    <n v="2"/>
    <n v="1"/>
    <s v="50+"/>
  </r>
  <r>
    <n v="31"/>
    <x v="0"/>
    <s v="Travel_Rarely"/>
    <n v="542"/>
    <x v="0"/>
    <n v="20"/>
    <n v="3"/>
    <s v="Life Sciences"/>
    <n v="175"/>
    <n v="2"/>
    <s v="Female"/>
    <n v="71"/>
    <n v="1"/>
    <n v="2"/>
    <x v="0"/>
    <n v="3"/>
    <s v="Married"/>
    <n v="4559"/>
    <n v="24788"/>
    <n v="3"/>
    <x v="0"/>
    <n v="11"/>
    <n v="3"/>
    <n v="3"/>
    <n v="1"/>
    <n v="4"/>
    <n v="2"/>
    <n v="3"/>
    <n v="2"/>
    <n v="2"/>
    <n v="2"/>
    <n v="2"/>
    <s v="30-39"/>
  </r>
  <r>
    <n v="41"/>
    <x v="1"/>
    <s v="Travel_Rarely"/>
    <n v="802"/>
    <x v="0"/>
    <n v="9"/>
    <n v="1"/>
    <s v="Life Sciences"/>
    <n v="176"/>
    <n v="3"/>
    <s v="Male"/>
    <n v="96"/>
    <n v="3"/>
    <n v="3"/>
    <x v="0"/>
    <n v="3"/>
    <s v="Divorced"/>
    <n v="8189"/>
    <n v="21196"/>
    <n v="3"/>
    <x v="0"/>
    <n v="13"/>
    <n v="3"/>
    <n v="3"/>
    <n v="1"/>
    <n v="12"/>
    <n v="2"/>
    <n v="3"/>
    <n v="9"/>
    <n v="7"/>
    <n v="0"/>
    <n v="7"/>
    <s v="40-49"/>
  </r>
  <r>
    <n v="26"/>
    <x v="1"/>
    <s v="Travel_Rarely"/>
    <n v="1355"/>
    <x v="2"/>
    <n v="25"/>
    <n v="1"/>
    <s v="Life Sciences"/>
    <n v="177"/>
    <n v="3"/>
    <s v="Female"/>
    <n v="61"/>
    <n v="3"/>
    <n v="1"/>
    <x v="8"/>
    <n v="3"/>
    <s v="Married"/>
    <n v="2942"/>
    <n v="8916"/>
    <n v="1"/>
    <x v="1"/>
    <n v="23"/>
    <n v="4"/>
    <n v="4"/>
    <n v="1"/>
    <n v="8"/>
    <n v="3"/>
    <n v="3"/>
    <n v="8"/>
    <n v="7"/>
    <n v="5"/>
    <n v="7"/>
    <s v="Below 30"/>
  </r>
  <r>
    <n v="36"/>
    <x v="1"/>
    <s v="Travel_Rarely"/>
    <n v="216"/>
    <x v="1"/>
    <n v="6"/>
    <n v="2"/>
    <s v="Medical"/>
    <n v="178"/>
    <n v="2"/>
    <s v="Male"/>
    <n v="84"/>
    <n v="3"/>
    <n v="2"/>
    <x v="3"/>
    <n v="2"/>
    <s v="Divorced"/>
    <n v="4941"/>
    <n v="2819"/>
    <n v="6"/>
    <x v="1"/>
    <n v="20"/>
    <n v="4"/>
    <n v="4"/>
    <n v="2"/>
    <n v="7"/>
    <n v="0"/>
    <n v="3"/>
    <n v="3"/>
    <n v="2"/>
    <n v="0"/>
    <n v="1"/>
    <s v="30-39"/>
  </r>
  <r>
    <n v="51"/>
    <x v="0"/>
    <s v="Travel_Frequently"/>
    <n v="1150"/>
    <x v="1"/>
    <n v="8"/>
    <n v="4"/>
    <s v="Life Sciences"/>
    <n v="179"/>
    <n v="1"/>
    <s v="Male"/>
    <n v="53"/>
    <n v="1"/>
    <n v="3"/>
    <x v="3"/>
    <n v="4"/>
    <s v="Single"/>
    <n v="10650"/>
    <n v="25150"/>
    <n v="2"/>
    <x v="1"/>
    <n v="15"/>
    <n v="3"/>
    <n v="4"/>
    <n v="0"/>
    <n v="18"/>
    <n v="2"/>
    <n v="3"/>
    <n v="4"/>
    <n v="2"/>
    <n v="0"/>
    <n v="3"/>
    <s v="50+"/>
  </r>
  <r>
    <n v="39"/>
    <x v="1"/>
    <s v="Travel_Rarely"/>
    <n v="1329"/>
    <x v="0"/>
    <n v="4"/>
    <n v="4"/>
    <s v="Life Sciences"/>
    <n v="182"/>
    <n v="4"/>
    <s v="Female"/>
    <n v="47"/>
    <n v="2"/>
    <n v="2"/>
    <x v="0"/>
    <n v="3"/>
    <s v="Married"/>
    <n v="5902"/>
    <n v="14590"/>
    <n v="4"/>
    <x v="1"/>
    <n v="14"/>
    <n v="3"/>
    <n v="3"/>
    <n v="1"/>
    <n v="17"/>
    <n v="1"/>
    <n v="4"/>
    <n v="15"/>
    <n v="11"/>
    <n v="5"/>
    <n v="9"/>
    <s v="30-39"/>
  </r>
  <r>
    <n v="25"/>
    <x v="1"/>
    <s v="Travel_Rarely"/>
    <n v="959"/>
    <x v="0"/>
    <n v="28"/>
    <n v="3"/>
    <s v="Life Sciences"/>
    <n v="183"/>
    <n v="1"/>
    <s v="Male"/>
    <n v="41"/>
    <n v="2"/>
    <n v="2"/>
    <x v="0"/>
    <n v="3"/>
    <s v="Married"/>
    <n v="8639"/>
    <n v="24835"/>
    <n v="2"/>
    <x v="1"/>
    <n v="18"/>
    <n v="3"/>
    <n v="4"/>
    <n v="0"/>
    <n v="6"/>
    <n v="3"/>
    <n v="3"/>
    <n v="2"/>
    <n v="2"/>
    <n v="2"/>
    <n v="2"/>
    <s v="Below 30"/>
  </r>
  <r>
    <n v="30"/>
    <x v="1"/>
    <s v="Travel_Rarely"/>
    <n v="1240"/>
    <x v="2"/>
    <n v="9"/>
    <n v="3"/>
    <s v="Human Resources"/>
    <n v="184"/>
    <n v="3"/>
    <s v="Male"/>
    <n v="48"/>
    <n v="3"/>
    <n v="2"/>
    <x v="8"/>
    <n v="4"/>
    <s v="Married"/>
    <n v="6347"/>
    <n v="13982"/>
    <n v="0"/>
    <x v="0"/>
    <n v="19"/>
    <n v="3"/>
    <n v="4"/>
    <n v="0"/>
    <n v="12"/>
    <n v="2"/>
    <n v="1"/>
    <n v="11"/>
    <n v="9"/>
    <n v="4"/>
    <n v="7"/>
    <s v="30-39"/>
  </r>
  <r>
    <n v="32"/>
    <x v="0"/>
    <s v="Travel_Rarely"/>
    <n v="1033"/>
    <x v="1"/>
    <n v="9"/>
    <n v="3"/>
    <s v="Medical"/>
    <n v="190"/>
    <n v="1"/>
    <s v="Female"/>
    <n v="41"/>
    <n v="3"/>
    <n v="1"/>
    <x v="2"/>
    <n v="1"/>
    <s v="Single"/>
    <n v="4200"/>
    <n v="10224"/>
    <n v="7"/>
    <x v="1"/>
    <n v="22"/>
    <n v="4"/>
    <n v="1"/>
    <n v="0"/>
    <n v="10"/>
    <n v="2"/>
    <n v="4"/>
    <n v="5"/>
    <n v="4"/>
    <n v="0"/>
    <n v="4"/>
    <s v="30-39"/>
  </r>
  <r>
    <n v="45"/>
    <x v="1"/>
    <s v="Travel_Rarely"/>
    <n v="1316"/>
    <x v="1"/>
    <n v="29"/>
    <n v="3"/>
    <s v="Medical"/>
    <n v="192"/>
    <n v="3"/>
    <s v="Male"/>
    <n v="83"/>
    <n v="3"/>
    <n v="1"/>
    <x v="1"/>
    <n v="4"/>
    <s v="Single"/>
    <n v="3452"/>
    <n v="9752"/>
    <n v="5"/>
    <x v="1"/>
    <n v="13"/>
    <n v="3"/>
    <n v="2"/>
    <n v="0"/>
    <n v="9"/>
    <n v="2"/>
    <n v="2"/>
    <n v="6"/>
    <n v="5"/>
    <n v="0"/>
    <n v="3"/>
    <s v="40-49"/>
  </r>
  <r>
    <n v="38"/>
    <x v="1"/>
    <s v="Travel_Rarely"/>
    <n v="364"/>
    <x v="1"/>
    <n v="3"/>
    <n v="5"/>
    <s v="Technical Degree"/>
    <n v="193"/>
    <n v="4"/>
    <s v="Female"/>
    <n v="32"/>
    <n v="3"/>
    <n v="2"/>
    <x v="1"/>
    <n v="3"/>
    <s v="Single"/>
    <n v="4317"/>
    <n v="2302"/>
    <n v="3"/>
    <x v="0"/>
    <n v="20"/>
    <n v="4"/>
    <n v="2"/>
    <n v="0"/>
    <n v="19"/>
    <n v="2"/>
    <n v="3"/>
    <n v="3"/>
    <n v="2"/>
    <n v="2"/>
    <n v="2"/>
    <s v="30-39"/>
  </r>
  <r>
    <n v="30"/>
    <x v="1"/>
    <s v="Travel_Rarely"/>
    <n v="438"/>
    <x v="1"/>
    <n v="18"/>
    <n v="3"/>
    <s v="Life Sciences"/>
    <n v="194"/>
    <n v="1"/>
    <s v="Female"/>
    <n v="75"/>
    <n v="3"/>
    <n v="1"/>
    <x v="1"/>
    <n v="3"/>
    <s v="Single"/>
    <n v="2632"/>
    <n v="23910"/>
    <n v="1"/>
    <x v="1"/>
    <n v="14"/>
    <n v="3"/>
    <n v="3"/>
    <n v="0"/>
    <n v="5"/>
    <n v="4"/>
    <n v="2"/>
    <n v="5"/>
    <n v="4"/>
    <n v="0"/>
    <n v="4"/>
    <s v="30-39"/>
  </r>
  <r>
    <n v="32"/>
    <x v="1"/>
    <s v="Travel_Frequently"/>
    <n v="689"/>
    <x v="0"/>
    <n v="9"/>
    <n v="2"/>
    <s v="Medical"/>
    <n v="195"/>
    <n v="4"/>
    <s v="Male"/>
    <n v="35"/>
    <n v="1"/>
    <n v="2"/>
    <x v="0"/>
    <n v="4"/>
    <s v="Divorced"/>
    <n v="4668"/>
    <n v="22812"/>
    <n v="0"/>
    <x v="1"/>
    <n v="17"/>
    <n v="3"/>
    <n v="4"/>
    <n v="3"/>
    <n v="9"/>
    <n v="2"/>
    <n v="4"/>
    <n v="8"/>
    <n v="7"/>
    <n v="0"/>
    <n v="7"/>
    <s v="30-39"/>
  </r>
  <r>
    <n v="30"/>
    <x v="1"/>
    <s v="Travel_Rarely"/>
    <n v="201"/>
    <x v="1"/>
    <n v="5"/>
    <n v="3"/>
    <s v="Technical Degree"/>
    <n v="197"/>
    <n v="4"/>
    <s v="Female"/>
    <n v="84"/>
    <n v="3"/>
    <n v="1"/>
    <x v="1"/>
    <n v="1"/>
    <s v="Divorced"/>
    <n v="3204"/>
    <n v="10415"/>
    <n v="5"/>
    <x v="1"/>
    <n v="14"/>
    <n v="3"/>
    <n v="4"/>
    <n v="1"/>
    <n v="8"/>
    <n v="3"/>
    <n v="3"/>
    <n v="3"/>
    <n v="2"/>
    <n v="2"/>
    <n v="2"/>
    <s v="30-39"/>
  </r>
  <r>
    <n v="30"/>
    <x v="1"/>
    <s v="Travel_Rarely"/>
    <n v="1427"/>
    <x v="1"/>
    <n v="2"/>
    <n v="1"/>
    <s v="Medical"/>
    <n v="198"/>
    <n v="2"/>
    <s v="Male"/>
    <n v="35"/>
    <n v="2"/>
    <n v="1"/>
    <x v="2"/>
    <n v="4"/>
    <s v="Single"/>
    <n v="2720"/>
    <n v="11162"/>
    <n v="0"/>
    <x v="1"/>
    <n v="13"/>
    <n v="3"/>
    <n v="4"/>
    <n v="0"/>
    <n v="6"/>
    <n v="3"/>
    <n v="3"/>
    <n v="5"/>
    <n v="3"/>
    <n v="1"/>
    <n v="2"/>
    <s v="30-39"/>
  </r>
  <r>
    <n v="41"/>
    <x v="1"/>
    <s v="Travel_Frequently"/>
    <n v="857"/>
    <x v="1"/>
    <n v="10"/>
    <n v="3"/>
    <s v="Life Sciences"/>
    <n v="199"/>
    <n v="4"/>
    <s v="Male"/>
    <n v="91"/>
    <n v="2"/>
    <n v="4"/>
    <x v="5"/>
    <n v="1"/>
    <s v="Divorced"/>
    <n v="17181"/>
    <n v="12888"/>
    <n v="4"/>
    <x v="1"/>
    <n v="13"/>
    <n v="3"/>
    <n v="2"/>
    <n v="1"/>
    <n v="21"/>
    <n v="2"/>
    <n v="2"/>
    <n v="7"/>
    <n v="6"/>
    <n v="7"/>
    <n v="7"/>
    <s v="40-49"/>
  </r>
  <r>
    <n v="41"/>
    <x v="1"/>
    <s v="Travel_Rarely"/>
    <n v="933"/>
    <x v="1"/>
    <n v="9"/>
    <n v="4"/>
    <s v="Life Sciences"/>
    <n v="200"/>
    <n v="3"/>
    <s v="Male"/>
    <n v="94"/>
    <n v="3"/>
    <n v="1"/>
    <x v="2"/>
    <n v="1"/>
    <s v="Married"/>
    <n v="2238"/>
    <n v="6961"/>
    <n v="2"/>
    <x v="1"/>
    <n v="21"/>
    <n v="4"/>
    <n v="4"/>
    <n v="1"/>
    <n v="7"/>
    <n v="2"/>
    <n v="3"/>
    <n v="5"/>
    <n v="0"/>
    <n v="1"/>
    <n v="4"/>
    <s v="40-49"/>
  </r>
  <r>
    <n v="19"/>
    <x v="1"/>
    <s v="Travel_Rarely"/>
    <n v="1181"/>
    <x v="1"/>
    <n v="3"/>
    <n v="1"/>
    <s v="Medical"/>
    <n v="201"/>
    <n v="2"/>
    <s v="Female"/>
    <n v="79"/>
    <n v="3"/>
    <n v="1"/>
    <x v="2"/>
    <n v="2"/>
    <s v="Single"/>
    <n v="1483"/>
    <n v="16102"/>
    <n v="1"/>
    <x v="1"/>
    <n v="14"/>
    <n v="3"/>
    <n v="4"/>
    <n v="0"/>
    <n v="1"/>
    <n v="3"/>
    <n v="3"/>
    <n v="1"/>
    <n v="0"/>
    <n v="0"/>
    <n v="0"/>
    <s v="Below 30"/>
  </r>
  <r>
    <n v="40"/>
    <x v="1"/>
    <s v="Travel_Frequently"/>
    <n v="1395"/>
    <x v="1"/>
    <n v="26"/>
    <n v="3"/>
    <s v="Medical"/>
    <n v="202"/>
    <n v="2"/>
    <s v="Female"/>
    <n v="54"/>
    <n v="3"/>
    <n v="2"/>
    <x v="1"/>
    <n v="2"/>
    <s v="Divorced"/>
    <n v="5605"/>
    <n v="8504"/>
    <n v="1"/>
    <x v="1"/>
    <n v="11"/>
    <n v="3"/>
    <n v="1"/>
    <n v="1"/>
    <n v="20"/>
    <n v="2"/>
    <n v="3"/>
    <n v="20"/>
    <n v="7"/>
    <n v="2"/>
    <n v="13"/>
    <s v="40-49"/>
  </r>
  <r>
    <n v="35"/>
    <x v="1"/>
    <s v="Travel_Rarely"/>
    <n v="662"/>
    <x v="0"/>
    <n v="1"/>
    <n v="5"/>
    <s v="Marketing"/>
    <n v="204"/>
    <n v="3"/>
    <s v="Male"/>
    <n v="94"/>
    <n v="3"/>
    <n v="3"/>
    <x v="0"/>
    <n v="2"/>
    <s v="Married"/>
    <n v="7295"/>
    <n v="11439"/>
    <n v="1"/>
    <x v="1"/>
    <n v="13"/>
    <n v="3"/>
    <n v="1"/>
    <n v="2"/>
    <n v="10"/>
    <n v="3"/>
    <n v="3"/>
    <n v="10"/>
    <n v="8"/>
    <n v="0"/>
    <n v="6"/>
    <s v="30-39"/>
  </r>
  <r>
    <n v="53"/>
    <x v="1"/>
    <s v="Travel_Rarely"/>
    <n v="1436"/>
    <x v="0"/>
    <n v="6"/>
    <n v="2"/>
    <s v="Marketing"/>
    <n v="205"/>
    <n v="2"/>
    <s v="Male"/>
    <n v="34"/>
    <n v="3"/>
    <n v="2"/>
    <x v="6"/>
    <n v="3"/>
    <s v="Married"/>
    <n v="2306"/>
    <n v="16047"/>
    <n v="2"/>
    <x v="0"/>
    <n v="20"/>
    <n v="4"/>
    <n v="4"/>
    <n v="1"/>
    <n v="13"/>
    <n v="3"/>
    <n v="1"/>
    <n v="7"/>
    <n v="7"/>
    <n v="4"/>
    <n v="5"/>
    <s v="50+"/>
  </r>
  <r>
    <n v="45"/>
    <x v="1"/>
    <s v="Travel_Rarely"/>
    <n v="194"/>
    <x v="1"/>
    <n v="9"/>
    <n v="3"/>
    <s v="Life Sciences"/>
    <n v="206"/>
    <n v="2"/>
    <s v="Male"/>
    <n v="60"/>
    <n v="3"/>
    <n v="2"/>
    <x v="2"/>
    <n v="2"/>
    <s v="Divorced"/>
    <n v="2348"/>
    <n v="10901"/>
    <n v="8"/>
    <x v="1"/>
    <n v="18"/>
    <n v="3"/>
    <n v="3"/>
    <n v="1"/>
    <n v="20"/>
    <n v="2"/>
    <n v="1"/>
    <n v="17"/>
    <n v="9"/>
    <n v="0"/>
    <n v="15"/>
    <s v="40-49"/>
  </r>
  <r>
    <n v="32"/>
    <x v="1"/>
    <s v="Travel_Frequently"/>
    <n v="967"/>
    <x v="0"/>
    <n v="8"/>
    <n v="3"/>
    <s v="Marketing"/>
    <n v="207"/>
    <n v="2"/>
    <s v="Female"/>
    <n v="43"/>
    <n v="3"/>
    <n v="3"/>
    <x v="0"/>
    <n v="4"/>
    <s v="Single"/>
    <n v="8998"/>
    <n v="15589"/>
    <n v="1"/>
    <x v="1"/>
    <n v="14"/>
    <n v="3"/>
    <n v="4"/>
    <n v="0"/>
    <n v="9"/>
    <n v="2"/>
    <n v="3"/>
    <n v="9"/>
    <n v="8"/>
    <n v="3"/>
    <n v="7"/>
    <s v="30-39"/>
  </r>
  <r>
    <n v="29"/>
    <x v="1"/>
    <s v="Non-Travel"/>
    <n v="1496"/>
    <x v="1"/>
    <n v="1"/>
    <n v="1"/>
    <s v="Technical Degree"/>
    <n v="208"/>
    <n v="4"/>
    <s v="Male"/>
    <n v="41"/>
    <n v="3"/>
    <n v="2"/>
    <x v="3"/>
    <n v="3"/>
    <s v="Married"/>
    <n v="4319"/>
    <n v="26283"/>
    <n v="1"/>
    <x v="1"/>
    <n v="13"/>
    <n v="3"/>
    <n v="1"/>
    <n v="1"/>
    <n v="10"/>
    <n v="1"/>
    <n v="3"/>
    <n v="10"/>
    <n v="7"/>
    <n v="0"/>
    <n v="9"/>
    <s v="Below 30"/>
  </r>
  <r>
    <n v="51"/>
    <x v="1"/>
    <s v="Travel_Rarely"/>
    <n v="1169"/>
    <x v="1"/>
    <n v="7"/>
    <n v="4"/>
    <s v="Medical"/>
    <n v="211"/>
    <n v="2"/>
    <s v="Male"/>
    <n v="34"/>
    <n v="2"/>
    <n v="2"/>
    <x v="3"/>
    <n v="3"/>
    <s v="Married"/>
    <n v="6132"/>
    <n v="13983"/>
    <n v="2"/>
    <x v="1"/>
    <n v="17"/>
    <n v="3"/>
    <n v="3"/>
    <n v="0"/>
    <n v="10"/>
    <n v="2"/>
    <n v="3"/>
    <n v="1"/>
    <n v="0"/>
    <n v="0"/>
    <n v="0"/>
    <s v="50+"/>
  </r>
  <r>
    <n v="58"/>
    <x v="1"/>
    <s v="Travel_Rarely"/>
    <n v="1145"/>
    <x v="1"/>
    <n v="9"/>
    <n v="3"/>
    <s v="Medical"/>
    <n v="214"/>
    <n v="2"/>
    <s v="Female"/>
    <n v="75"/>
    <n v="2"/>
    <n v="1"/>
    <x v="1"/>
    <n v="2"/>
    <s v="Married"/>
    <n v="3346"/>
    <n v="11873"/>
    <n v="4"/>
    <x v="0"/>
    <n v="20"/>
    <n v="4"/>
    <n v="2"/>
    <n v="1"/>
    <n v="9"/>
    <n v="3"/>
    <n v="2"/>
    <n v="1"/>
    <n v="0"/>
    <n v="0"/>
    <n v="0"/>
    <s v="50+"/>
  </r>
  <r>
    <n v="40"/>
    <x v="1"/>
    <s v="Travel_Rarely"/>
    <n v="630"/>
    <x v="0"/>
    <n v="4"/>
    <n v="4"/>
    <s v="Marketing"/>
    <n v="215"/>
    <n v="3"/>
    <s v="Male"/>
    <n v="67"/>
    <n v="2"/>
    <n v="3"/>
    <x v="0"/>
    <n v="4"/>
    <s v="Married"/>
    <n v="10855"/>
    <n v="8552"/>
    <n v="7"/>
    <x v="1"/>
    <n v="11"/>
    <n v="3"/>
    <n v="1"/>
    <n v="1"/>
    <n v="15"/>
    <n v="2"/>
    <n v="2"/>
    <n v="12"/>
    <n v="11"/>
    <n v="2"/>
    <n v="11"/>
    <s v="40-49"/>
  </r>
  <r>
    <n v="34"/>
    <x v="1"/>
    <s v="Travel_Frequently"/>
    <n v="303"/>
    <x v="0"/>
    <n v="2"/>
    <n v="4"/>
    <s v="Marketing"/>
    <n v="216"/>
    <n v="3"/>
    <s v="Female"/>
    <n v="75"/>
    <n v="3"/>
    <n v="1"/>
    <x v="6"/>
    <n v="3"/>
    <s v="Married"/>
    <n v="2231"/>
    <n v="11314"/>
    <n v="6"/>
    <x v="1"/>
    <n v="18"/>
    <n v="3"/>
    <n v="4"/>
    <n v="1"/>
    <n v="6"/>
    <n v="3"/>
    <n v="3"/>
    <n v="4"/>
    <n v="3"/>
    <n v="1"/>
    <n v="2"/>
    <s v="30-39"/>
  </r>
  <r>
    <n v="22"/>
    <x v="1"/>
    <s v="Travel_Rarely"/>
    <n v="1256"/>
    <x v="1"/>
    <n v="19"/>
    <n v="1"/>
    <s v="Medical"/>
    <n v="217"/>
    <n v="3"/>
    <s v="Male"/>
    <n v="80"/>
    <n v="3"/>
    <n v="1"/>
    <x v="1"/>
    <n v="4"/>
    <s v="Married"/>
    <n v="2323"/>
    <n v="11992"/>
    <n v="1"/>
    <x v="1"/>
    <n v="24"/>
    <n v="4"/>
    <n v="1"/>
    <n v="2"/>
    <n v="2"/>
    <n v="6"/>
    <n v="3"/>
    <n v="2"/>
    <n v="2"/>
    <n v="2"/>
    <n v="2"/>
    <s v="Below 30"/>
  </r>
  <r>
    <n v="27"/>
    <x v="1"/>
    <s v="Non-Travel"/>
    <n v="691"/>
    <x v="1"/>
    <n v="9"/>
    <n v="3"/>
    <s v="Medical"/>
    <n v="218"/>
    <n v="4"/>
    <s v="Male"/>
    <n v="57"/>
    <n v="3"/>
    <n v="1"/>
    <x v="1"/>
    <n v="2"/>
    <s v="Divorced"/>
    <n v="2024"/>
    <n v="5970"/>
    <n v="6"/>
    <x v="1"/>
    <n v="18"/>
    <n v="3"/>
    <n v="4"/>
    <n v="1"/>
    <n v="6"/>
    <n v="1"/>
    <n v="1"/>
    <n v="2"/>
    <n v="2"/>
    <n v="2"/>
    <n v="2"/>
    <s v="Below 30"/>
  </r>
  <r>
    <n v="28"/>
    <x v="1"/>
    <s v="Travel_Rarely"/>
    <n v="440"/>
    <x v="1"/>
    <n v="21"/>
    <n v="3"/>
    <s v="Medical"/>
    <n v="221"/>
    <n v="3"/>
    <s v="Male"/>
    <n v="42"/>
    <n v="3"/>
    <n v="1"/>
    <x v="1"/>
    <n v="4"/>
    <s v="Married"/>
    <n v="2713"/>
    <n v="6672"/>
    <n v="1"/>
    <x v="1"/>
    <n v="11"/>
    <n v="3"/>
    <n v="3"/>
    <n v="1"/>
    <n v="5"/>
    <n v="2"/>
    <n v="1"/>
    <n v="5"/>
    <n v="2"/>
    <n v="0"/>
    <n v="2"/>
    <s v="Below 30"/>
  </r>
  <r>
    <n v="57"/>
    <x v="1"/>
    <s v="Travel_Rarely"/>
    <n v="334"/>
    <x v="1"/>
    <n v="24"/>
    <n v="2"/>
    <s v="Life Sciences"/>
    <n v="223"/>
    <n v="3"/>
    <s v="Male"/>
    <n v="83"/>
    <n v="4"/>
    <n v="3"/>
    <x v="4"/>
    <n v="4"/>
    <s v="Divorced"/>
    <n v="9439"/>
    <n v="23402"/>
    <n v="3"/>
    <x v="0"/>
    <n v="16"/>
    <n v="3"/>
    <n v="2"/>
    <n v="1"/>
    <n v="12"/>
    <n v="2"/>
    <n v="1"/>
    <n v="5"/>
    <n v="3"/>
    <n v="1"/>
    <n v="4"/>
    <s v="50+"/>
  </r>
  <r>
    <n v="27"/>
    <x v="1"/>
    <s v="Non-Travel"/>
    <n v="1450"/>
    <x v="1"/>
    <n v="3"/>
    <n v="3"/>
    <s v="Medical"/>
    <n v="224"/>
    <n v="3"/>
    <s v="Male"/>
    <n v="79"/>
    <n v="2"/>
    <n v="1"/>
    <x v="1"/>
    <n v="3"/>
    <s v="Divorced"/>
    <n v="2566"/>
    <n v="25326"/>
    <n v="1"/>
    <x v="0"/>
    <n v="15"/>
    <n v="3"/>
    <n v="4"/>
    <n v="1"/>
    <n v="1"/>
    <n v="2"/>
    <n v="2"/>
    <n v="1"/>
    <n v="1"/>
    <n v="0"/>
    <n v="1"/>
    <s v="Below 30"/>
  </r>
  <r>
    <n v="50"/>
    <x v="1"/>
    <s v="Travel_Rarely"/>
    <n v="1452"/>
    <x v="1"/>
    <n v="11"/>
    <n v="3"/>
    <s v="Life Sciences"/>
    <n v="226"/>
    <n v="3"/>
    <s v="Female"/>
    <n v="53"/>
    <n v="3"/>
    <n v="5"/>
    <x v="5"/>
    <n v="2"/>
    <s v="Single"/>
    <n v="19926"/>
    <n v="17053"/>
    <n v="3"/>
    <x v="1"/>
    <n v="15"/>
    <n v="3"/>
    <n v="2"/>
    <n v="0"/>
    <n v="21"/>
    <n v="5"/>
    <n v="3"/>
    <n v="5"/>
    <n v="4"/>
    <n v="4"/>
    <n v="4"/>
    <s v="50+"/>
  </r>
  <r>
    <n v="41"/>
    <x v="1"/>
    <s v="Travel_Rarely"/>
    <n v="465"/>
    <x v="1"/>
    <n v="14"/>
    <n v="3"/>
    <s v="Life Sciences"/>
    <n v="227"/>
    <n v="1"/>
    <s v="Male"/>
    <n v="56"/>
    <n v="3"/>
    <n v="1"/>
    <x v="1"/>
    <n v="3"/>
    <s v="Divorced"/>
    <n v="2451"/>
    <n v="4609"/>
    <n v="4"/>
    <x v="1"/>
    <n v="12"/>
    <n v="3"/>
    <n v="1"/>
    <n v="1"/>
    <n v="13"/>
    <n v="2"/>
    <n v="3"/>
    <n v="9"/>
    <n v="8"/>
    <n v="1"/>
    <n v="8"/>
    <s v="40-49"/>
  </r>
  <r>
    <n v="30"/>
    <x v="1"/>
    <s v="Travel_Rarely"/>
    <n v="1339"/>
    <x v="0"/>
    <n v="5"/>
    <n v="3"/>
    <s v="Life Sciences"/>
    <n v="228"/>
    <n v="2"/>
    <s v="Female"/>
    <n v="41"/>
    <n v="3"/>
    <n v="3"/>
    <x v="0"/>
    <n v="4"/>
    <s v="Married"/>
    <n v="9419"/>
    <n v="8053"/>
    <n v="2"/>
    <x v="1"/>
    <n v="12"/>
    <n v="3"/>
    <n v="3"/>
    <n v="1"/>
    <n v="12"/>
    <n v="2"/>
    <n v="3"/>
    <n v="10"/>
    <n v="9"/>
    <n v="7"/>
    <n v="4"/>
    <s v="30-39"/>
  </r>
  <r>
    <n v="38"/>
    <x v="1"/>
    <s v="Travel_Rarely"/>
    <n v="702"/>
    <x v="0"/>
    <n v="1"/>
    <n v="4"/>
    <s v="Life Sciences"/>
    <n v="230"/>
    <n v="1"/>
    <s v="Female"/>
    <n v="59"/>
    <n v="2"/>
    <n v="2"/>
    <x v="0"/>
    <n v="4"/>
    <s v="Single"/>
    <n v="8686"/>
    <n v="12930"/>
    <n v="4"/>
    <x v="1"/>
    <n v="22"/>
    <n v="4"/>
    <n v="3"/>
    <n v="0"/>
    <n v="12"/>
    <n v="2"/>
    <n v="4"/>
    <n v="8"/>
    <n v="3"/>
    <n v="0"/>
    <n v="7"/>
    <s v="30-39"/>
  </r>
  <r>
    <n v="32"/>
    <x v="1"/>
    <s v="Travel_Rarely"/>
    <n v="120"/>
    <x v="1"/>
    <n v="6"/>
    <n v="5"/>
    <s v="Life Sciences"/>
    <n v="231"/>
    <n v="3"/>
    <s v="Male"/>
    <n v="43"/>
    <n v="3"/>
    <n v="1"/>
    <x v="1"/>
    <n v="3"/>
    <s v="Single"/>
    <n v="3038"/>
    <n v="12430"/>
    <n v="3"/>
    <x v="1"/>
    <n v="20"/>
    <n v="4"/>
    <n v="1"/>
    <n v="0"/>
    <n v="8"/>
    <n v="2"/>
    <n v="3"/>
    <n v="5"/>
    <n v="4"/>
    <n v="1"/>
    <n v="4"/>
    <s v="30-39"/>
  </r>
  <r>
    <n v="27"/>
    <x v="1"/>
    <s v="Travel_Rarely"/>
    <n v="1157"/>
    <x v="1"/>
    <n v="17"/>
    <n v="3"/>
    <s v="Technical Degree"/>
    <n v="233"/>
    <n v="3"/>
    <s v="Male"/>
    <n v="51"/>
    <n v="3"/>
    <n v="1"/>
    <x v="1"/>
    <n v="2"/>
    <s v="Married"/>
    <n v="3058"/>
    <n v="13364"/>
    <n v="0"/>
    <x v="0"/>
    <n v="16"/>
    <n v="3"/>
    <n v="4"/>
    <n v="1"/>
    <n v="6"/>
    <n v="3"/>
    <n v="2"/>
    <n v="5"/>
    <n v="2"/>
    <n v="1"/>
    <n v="1"/>
    <s v="Below 30"/>
  </r>
  <r>
    <n v="19"/>
    <x v="0"/>
    <s v="Travel_Frequently"/>
    <n v="602"/>
    <x v="0"/>
    <n v="1"/>
    <n v="1"/>
    <s v="Technical Degree"/>
    <n v="235"/>
    <n v="3"/>
    <s v="Female"/>
    <n v="100"/>
    <n v="1"/>
    <n v="1"/>
    <x v="6"/>
    <n v="1"/>
    <s v="Single"/>
    <n v="2325"/>
    <n v="20989"/>
    <n v="0"/>
    <x v="1"/>
    <n v="21"/>
    <n v="4"/>
    <n v="1"/>
    <n v="0"/>
    <n v="1"/>
    <n v="5"/>
    <n v="4"/>
    <n v="0"/>
    <n v="0"/>
    <n v="0"/>
    <n v="0"/>
    <s v="Below 30"/>
  </r>
  <r>
    <n v="36"/>
    <x v="1"/>
    <s v="Travel_Frequently"/>
    <n v="1480"/>
    <x v="1"/>
    <n v="3"/>
    <n v="2"/>
    <s v="Medical"/>
    <n v="238"/>
    <n v="4"/>
    <s v="Male"/>
    <n v="30"/>
    <n v="3"/>
    <n v="1"/>
    <x v="2"/>
    <n v="2"/>
    <s v="Single"/>
    <n v="2088"/>
    <n v="15062"/>
    <n v="4"/>
    <x v="1"/>
    <n v="12"/>
    <n v="3"/>
    <n v="3"/>
    <n v="0"/>
    <n v="13"/>
    <n v="3"/>
    <n v="2"/>
    <n v="8"/>
    <n v="7"/>
    <n v="7"/>
    <n v="2"/>
    <s v="30-39"/>
  </r>
  <r>
    <n v="30"/>
    <x v="1"/>
    <s v="Non-Travel"/>
    <n v="111"/>
    <x v="1"/>
    <n v="9"/>
    <n v="3"/>
    <s v="Medical"/>
    <n v="239"/>
    <n v="3"/>
    <s v="Male"/>
    <n v="66"/>
    <n v="3"/>
    <n v="2"/>
    <x v="2"/>
    <n v="1"/>
    <s v="Divorced"/>
    <n v="3072"/>
    <n v="11012"/>
    <n v="1"/>
    <x v="1"/>
    <n v="11"/>
    <n v="3"/>
    <n v="3"/>
    <n v="2"/>
    <n v="12"/>
    <n v="4"/>
    <n v="3"/>
    <n v="12"/>
    <n v="9"/>
    <n v="6"/>
    <n v="10"/>
    <s v="30-39"/>
  </r>
  <r>
    <n v="45"/>
    <x v="1"/>
    <s v="Travel_Rarely"/>
    <n v="1268"/>
    <x v="0"/>
    <n v="4"/>
    <n v="2"/>
    <s v="Life Sciences"/>
    <n v="240"/>
    <n v="3"/>
    <s v="Female"/>
    <n v="30"/>
    <n v="3"/>
    <n v="2"/>
    <x v="0"/>
    <n v="1"/>
    <s v="Divorced"/>
    <n v="5006"/>
    <n v="6319"/>
    <n v="4"/>
    <x v="0"/>
    <n v="11"/>
    <n v="3"/>
    <n v="1"/>
    <n v="1"/>
    <n v="9"/>
    <n v="3"/>
    <n v="4"/>
    <n v="5"/>
    <n v="4"/>
    <n v="0"/>
    <n v="3"/>
    <s v="40-49"/>
  </r>
  <r>
    <n v="56"/>
    <x v="1"/>
    <s v="Travel_Rarely"/>
    <n v="713"/>
    <x v="1"/>
    <n v="8"/>
    <n v="3"/>
    <s v="Life Sciences"/>
    <n v="241"/>
    <n v="3"/>
    <s v="Female"/>
    <n v="67"/>
    <n v="3"/>
    <n v="1"/>
    <x v="1"/>
    <n v="1"/>
    <s v="Divorced"/>
    <n v="4257"/>
    <n v="13939"/>
    <n v="4"/>
    <x v="0"/>
    <n v="18"/>
    <n v="3"/>
    <n v="3"/>
    <n v="1"/>
    <n v="19"/>
    <n v="3"/>
    <n v="3"/>
    <n v="2"/>
    <n v="2"/>
    <n v="2"/>
    <n v="2"/>
    <s v="50+"/>
  </r>
  <r>
    <n v="33"/>
    <x v="1"/>
    <s v="Travel_Rarely"/>
    <n v="134"/>
    <x v="1"/>
    <n v="2"/>
    <n v="3"/>
    <s v="Life Sciences"/>
    <n v="242"/>
    <n v="3"/>
    <s v="Male"/>
    <n v="90"/>
    <n v="3"/>
    <n v="1"/>
    <x v="1"/>
    <n v="4"/>
    <s v="Single"/>
    <n v="2500"/>
    <n v="10515"/>
    <n v="0"/>
    <x v="1"/>
    <n v="14"/>
    <n v="3"/>
    <n v="1"/>
    <n v="0"/>
    <n v="4"/>
    <n v="2"/>
    <n v="4"/>
    <n v="3"/>
    <n v="1"/>
    <n v="0"/>
    <n v="2"/>
    <s v="30-39"/>
  </r>
  <r>
    <n v="19"/>
    <x v="0"/>
    <s v="Travel_Rarely"/>
    <n v="303"/>
    <x v="1"/>
    <n v="2"/>
    <n v="3"/>
    <s v="Life Sciences"/>
    <n v="243"/>
    <n v="2"/>
    <s v="Male"/>
    <n v="47"/>
    <n v="2"/>
    <n v="1"/>
    <x v="2"/>
    <n v="4"/>
    <s v="Single"/>
    <n v="1102"/>
    <n v="9241"/>
    <n v="1"/>
    <x v="1"/>
    <n v="22"/>
    <n v="4"/>
    <n v="3"/>
    <n v="0"/>
    <n v="1"/>
    <n v="3"/>
    <n v="2"/>
    <n v="1"/>
    <n v="0"/>
    <n v="1"/>
    <n v="0"/>
    <s v="Below 30"/>
  </r>
  <r>
    <n v="46"/>
    <x v="1"/>
    <s v="Travel_Rarely"/>
    <n v="526"/>
    <x v="0"/>
    <n v="1"/>
    <n v="2"/>
    <s v="Marketing"/>
    <n v="244"/>
    <n v="2"/>
    <s v="Female"/>
    <n v="92"/>
    <n v="3"/>
    <n v="3"/>
    <x v="0"/>
    <n v="1"/>
    <s v="Divorced"/>
    <n v="10453"/>
    <n v="2137"/>
    <n v="1"/>
    <x v="1"/>
    <n v="25"/>
    <n v="4"/>
    <n v="3"/>
    <n v="3"/>
    <n v="24"/>
    <n v="2"/>
    <n v="3"/>
    <n v="24"/>
    <n v="13"/>
    <n v="15"/>
    <n v="7"/>
    <s v="40-49"/>
  </r>
  <r>
    <n v="38"/>
    <x v="1"/>
    <s v="Travel_Rarely"/>
    <n v="1380"/>
    <x v="1"/>
    <n v="9"/>
    <n v="2"/>
    <s v="Life Sciences"/>
    <n v="245"/>
    <n v="3"/>
    <s v="Female"/>
    <n v="75"/>
    <n v="3"/>
    <n v="1"/>
    <x v="2"/>
    <n v="4"/>
    <s v="Single"/>
    <n v="2288"/>
    <n v="6319"/>
    <n v="1"/>
    <x v="1"/>
    <n v="12"/>
    <n v="3"/>
    <n v="3"/>
    <n v="0"/>
    <n v="2"/>
    <n v="3"/>
    <n v="3"/>
    <n v="2"/>
    <n v="2"/>
    <n v="2"/>
    <n v="1"/>
    <s v="30-39"/>
  </r>
  <r>
    <n v="31"/>
    <x v="1"/>
    <s v="Travel_Rarely"/>
    <n v="140"/>
    <x v="1"/>
    <n v="12"/>
    <n v="1"/>
    <s v="Medical"/>
    <n v="246"/>
    <n v="3"/>
    <s v="Female"/>
    <n v="95"/>
    <n v="3"/>
    <n v="1"/>
    <x v="1"/>
    <n v="4"/>
    <s v="Married"/>
    <n v="3929"/>
    <n v="6984"/>
    <n v="8"/>
    <x v="0"/>
    <n v="23"/>
    <n v="4"/>
    <n v="3"/>
    <n v="1"/>
    <n v="7"/>
    <n v="0"/>
    <n v="3"/>
    <n v="4"/>
    <n v="2"/>
    <n v="0"/>
    <n v="2"/>
    <s v="30-39"/>
  </r>
  <r>
    <n v="34"/>
    <x v="1"/>
    <s v="Travel_Rarely"/>
    <n v="629"/>
    <x v="1"/>
    <n v="27"/>
    <n v="2"/>
    <s v="Medical"/>
    <n v="247"/>
    <n v="4"/>
    <s v="Female"/>
    <n v="95"/>
    <n v="3"/>
    <n v="1"/>
    <x v="1"/>
    <n v="2"/>
    <s v="Single"/>
    <n v="2311"/>
    <n v="5711"/>
    <n v="2"/>
    <x v="1"/>
    <n v="15"/>
    <n v="3"/>
    <n v="4"/>
    <n v="0"/>
    <n v="9"/>
    <n v="3"/>
    <n v="3"/>
    <n v="3"/>
    <n v="2"/>
    <n v="1"/>
    <n v="2"/>
    <s v="30-39"/>
  </r>
  <r>
    <n v="41"/>
    <x v="0"/>
    <s v="Travel_Rarely"/>
    <n v="1356"/>
    <x v="0"/>
    <n v="20"/>
    <n v="2"/>
    <s v="Marketing"/>
    <n v="248"/>
    <n v="2"/>
    <s v="Female"/>
    <n v="70"/>
    <n v="3"/>
    <n v="1"/>
    <x v="6"/>
    <n v="2"/>
    <s v="Single"/>
    <n v="3140"/>
    <n v="21728"/>
    <n v="1"/>
    <x v="0"/>
    <n v="22"/>
    <n v="4"/>
    <n v="4"/>
    <n v="0"/>
    <n v="4"/>
    <n v="5"/>
    <n v="2"/>
    <n v="4"/>
    <n v="3"/>
    <n v="0"/>
    <n v="2"/>
    <s v="40-49"/>
  </r>
  <r>
    <n v="50"/>
    <x v="1"/>
    <s v="Travel_Rarely"/>
    <n v="328"/>
    <x v="1"/>
    <n v="1"/>
    <n v="3"/>
    <s v="Medical"/>
    <n v="249"/>
    <n v="3"/>
    <s v="Male"/>
    <n v="86"/>
    <n v="2"/>
    <n v="1"/>
    <x v="2"/>
    <n v="3"/>
    <s v="Married"/>
    <n v="3690"/>
    <n v="3425"/>
    <n v="2"/>
    <x v="1"/>
    <n v="15"/>
    <n v="3"/>
    <n v="4"/>
    <n v="1"/>
    <n v="5"/>
    <n v="2"/>
    <n v="2"/>
    <n v="3"/>
    <n v="2"/>
    <n v="0"/>
    <n v="2"/>
    <s v="50+"/>
  </r>
  <r>
    <n v="53"/>
    <x v="1"/>
    <s v="Travel_Rarely"/>
    <n v="1084"/>
    <x v="1"/>
    <n v="13"/>
    <n v="2"/>
    <s v="Medical"/>
    <n v="250"/>
    <n v="4"/>
    <s v="Female"/>
    <n v="57"/>
    <n v="4"/>
    <n v="2"/>
    <x v="3"/>
    <n v="1"/>
    <s v="Divorced"/>
    <n v="4450"/>
    <n v="26250"/>
    <n v="1"/>
    <x v="1"/>
    <n v="11"/>
    <n v="3"/>
    <n v="3"/>
    <n v="2"/>
    <n v="5"/>
    <n v="3"/>
    <n v="3"/>
    <n v="4"/>
    <n v="2"/>
    <n v="1"/>
    <n v="3"/>
    <s v="50+"/>
  </r>
  <r>
    <n v="33"/>
    <x v="1"/>
    <s v="Travel_Rarely"/>
    <n v="931"/>
    <x v="1"/>
    <n v="14"/>
    <n v="3"/>
    <s v="Medical"/>
    <n v="252"/>
    <n v="4"/>
    <s v="Female"/>
    <n v="72"/>
    <n v="3"/>
    <n v="1"/>
    <x v="1"/>
    <n v="2"/>
    <s v="Married"/>
    <n v="2756"/>
    <n v="4673"/>
    <n v="1"/>
    <x v="1"/>
    <n v="13"/>
    <n v="3"/>
    <n v="4"/>
    <n v="1"/>
    <n v="8"/>
    <n v="5"/>
    <n v="3"/>
    <n v="8"/>
    <n v="7"/>
    <n v="1"/>
    <n v="6"/>
    <s v="30-39"/>
  </r>
  <r>
    <n v="40"/>
    <x v="1"/>
    <s v="Travel_Rarely"/>
    <n v="989"/>
    <x v="1"/>
    <n v="4"/>
    <n v="1"/>
    <s v="Medical"/>
    <n v="253"/>
    <n v="4"/>
    <s v="Female"/>
    <n v="46"/>
    <n v="3"/>
    <n v="5"/>
    <x v="5"/>
    <n v="3"/>
    <s v="Married"/>
    <n v="19033"/>
    <n v="6499"/>
    <n v="1"/>
    <x v="1"/>
    <n v="14"/>
    <n v="3"/>
    <n v="2"/>
    <n v="1"/>
    <n v="21"/>
    <n v="2"/>
    <n v="3"/>
    <n v="20"/>
    <n v="8"/>
    <n v="9"/>
    <n v="9"/>
    <s v="40-49"/>
  </r>
  <r>
    <n v="55"/>
    <x v="1"/>
    <s v="Travel_Rarely"/>
    <n v="692"/>
    <x v="1"/>
    <n v="14"/>
    <n v="4"/>
    <s v="Medical"/>
    <n v="254"/>
    <n v="3"/>
    <s v="Male"/>
    <n v="61"/>
    <n v="4"/>
    <n v="5"/>
    <x v="7"/>
    <n v="2"/>
    <s v="Single"/>
    <n v="18722"/>
    <n v="13339"/>
    <n v="8"/>
    <x v="1"/>
    <n v="11"/>
    <n v="3"/>
    <n v="4"/>
    <n v="0"/>
    <n v="36"/>
    <n v="3"/>
    <n v="3"/>
    <n v="24"/>
    <n v="15"/>
    <n v="2"/>
    <n v="15"/>
    <s v="50+"/>
  </r>
  <r>
    <n v="34"/>
    <x v="1"/>
    <s v="Travel_Frequently"/>
    <n v="1069"/>
    <x v="1"/>
    <n v="2"/>
    <n v="1"/>
    <s v="Life Sciences"/>
    <n v="256"/>
    <n v="4"/>
    <s v="Male"/>
    <n v="45"/>
    <n v="2"/>
    <n v="2"/>
    <x v="3"/>
    <n v="3"/>
    <s v="Married"/>
    <n v="9547"/>
    <n v="14074"/>
    <n v="1"/>
    <x v="1"/>
    <n v="17"/>
    <n v="3"/>
    <n v="3"/>
    <n v="0"/>
    <n v="10"/>
    <n v="2"/>
    <n v="2"/>
    <n v="10"/>
    <n v="9"/>
    <n v="1"/>
    <n v="9"/>
    <s v="30-39"/>
  </r>
  <r>
    <n v="51"/>
    <x v="1"/>
    <s v="Travel_Rarely"/>
    <n v="313"/>
    <x v="1"/>
    <n v="3"/>
    <n v="3"/>
    <s v="Medical"/>
    <n v="258"/>
    <n v="4"/>
    <s v="Female"/>
    <n v="98"/>
    <n v="3"/>
    <n v="4"/>
    <x v="4"/>
    <n v="2"/>
    <s v="Single"/>
    <n v="13734"/>
    <n v="7192"/>
    <n v="3"/>
    <x v="1"/>
    <n v="18"/>
    <n v="3"/>
    <n v="3"/>
    <n v="0"/>
    <n v="21"/>
    <n v="6"/>
    <n v="3"/>
    <n v="7"/>
    <n v="7"/>
    <n v="1"/>
    <n v="0"/>
    <s v="50+"/>
  </r>
  <r>
    <n v="52"/>
    <x v="1"/>
    <s v="Travel_Rarely"/>
    <n v="699"/>
    <x v="1"/>
    <n v="1"/>
    <n v="4"/>
    <s v="Life Sciences"/>
    <n v="259"/>
    <n v="3"/>
    <s v="Male"/>
    <n v="65"/>
    <n v="2"/>
    <n v="5"/>
    <x v="5"/>
    <n v="3"/>
    <s v="Married"/>
    <n v="19999"/>
    <n v="5678"/>
    <n v="0"/>
    <x v="1"/>
    <n v="14"/>
    <n v="3"/>
    <n v="1"/>
    <n v="1"/>
    <n v="34"/>
    <n v="5"/>
    <n v="3"/>
    <n v="33"/>
    <n v="18"/>
    <n v="11"/>
    <n v="9"/>
    <s v="50+"/>
  </r>
  <r>
    <n v="27"/>
    <x v="1"/>
    <s v="Travel_Rarely"/>
    <n v="894"/>
    <x v="1"/>
    <n v="9"/>
    <n v="3"/>
    <s v="Medical"/>
    <n v="260"/>
    <n v="4"/>
    <s v="Female"/>
    <n v="99"/>
    <n v="3"/>
    <n v="1"/>
    <x v="1"/>
    <n v="2"/>
    <s v="Single"/>
    <n v="2279"/>
    <n v="11781"/>
    <n v="1"/>
    <x v="1"/>
    <n v="16"/>
    <n v="3"/>
    <n v="4"/>
    <n v="0"/>
    <n v="7"/>
    <n v="2"/>
    <n v="2"/>
    <n v="7"/>
    <n v="7"/>
    <n v="0"/>
    <n v="3"/>
    <s v="Below 30"/>
  </r>
  <r>
    <n v="35"/>
    <x v="0"/>
    <s v="Travel_Rarely"/>
    <n v="556"/>
    <x v="1"/>
    <n v="23"/>
    <n v="2"/>
    <s v="Life Sciences"/>
    <n v="261"/>
    <n v="2"/>
    <s v="Male"/>
    <n v="50"/>
    <n v="2"/>
    <n v="2"/>
    <x v="3"/>
    <n v="3"/>
    <s v="Married"/>
    <n v="5916"/>
    <n v="15497"/>
    <n v="3"/>
    <x v="0"/>
    <n v="13"/>
    <n v="3"/>
    <n v="1"/>
    <n v="0"/>
    <n v="8"/>
    <n v="1"/>
    <n v="3"/>
    <n v="1"/>
    <n v="0"/>
    <n v="0"/>
    <n v="1"/>
    <s v="30-39"/>
  </r>
  <r>
    <n v="43"/>
    <x v="1"/>
    <s v="Non-Travel"/>
    <n v="1344"/>
    <x v="1"/>
    <n v="7"/>
    <n v="3"/>
    <s v="Medical"/>
    <n v="262"/>
    <n v="4"/>
    <s v="Male"/>
    <n v="37"/>
    <n v="4"/>
    <n v="1"/>
    <x v="1"/>
    <n v="4"/>
    <s v="Divorced"/>
    <n v="2089"/>
    <n v="5228"/>
    <n v="4"/>
    <x v="1"/>
    <n v="14"/>
    <n v="3"/>
    <n v="4"/>
    <n v="3"/>
    <n v="7"/>
    <n v="3"/>
    <n v="4"/>
    <n v="5"/>
    <n v="4"/>
    <n v="2"/>
    <n v="2"/>
    <s v="40-49"/>
  </r>
  <r>
    <n v="45"/>
    <x v="1"/>
    <s v="Non-Travel"/>
    <n v="1195"/>
    <x v="1"/>
    <n v="2"/>
    <n v="2"/>
    <s v="Medical"/>
    <n v="264"/>
    <n v="1"/>
    <s v="Male"/>
    <n v="65"/>
    <n v="2"/>
    <n v="4"/>
    <x v="5"/>
    <n v="4"/>
    <s v="Married"/>
    <n v="16792"/>
    <n v="20462"/>
    <n v="9"/>
    <x v="1"/>
    <n v="23"/>
    <n v="4"/>
    <n v="4"/>
    <n v="1"/>
    <n v="22"/>
    <n v="1"/>
    <n v="3"/>
    <n v="20"/>
    <n v="8"/>
    <n v="11"/>
    <n v="8"/>
    <s v="40-49"/>
  </r>
  <r>
    <n v="37"/>
    <x v="1"/>
    <s v="Travel_Rarely"/>
    <n v="290"/>
    <x v="1"/>
    <n v="21"/>
    <n v="3"/>
    <s v="Life Sciences"/>
    <n v="267"/>
    <n v="2"/>
    <s v="Male"/>
    <n v="65"/>
    <n v="4"/>
    <n v="1"/>
    <x v="1"/>
    <n v="1"/>
    <s v="Married"/>
    <n v="3564"/>
    <n v="22977"/>
    <n v="1"/>
    <x v="0"/>
    <n v="12"/>
    <n v="3"/>
    <n v="1"/>
    <n v="1"/>
    <n v="8"/>
    <n v="3"/>
    <n v="2"/>
    <n v="8"/>
    <n v="7"/>
    <n v="1"/>
    <n v="7"/>
    <s v="30-39"/>
  </r>
  <r>
    <n v="35"/>
    <x v="1"/>
    <s v="Travel_Frequently"/>
    <n v="138"/>
    <x v="1"/>
    <n v="2"/>
    <n v="3"/>
    <s v="Medical"/>
    <n v="269"/>
    <n v="2"/>
    <s v="Female"/>
    <n v="37"/>
    <n v="3"/>
    <n v="2"/>
    <x v="2"/>
    <n v="2"/>
    <s v="Single"/>
    <n v="4425"/>
    <n v="15986"/>
    <n v="5"/>
    <x v="1"/>
    <n v="11"/>
    <n v="3"/>
    <n v="4"/>
    <n v="0"/>
    <n v="10"/>
    <n v="5"/>
    <n v="3"/>
    <n v="6"/>
    <n v="2"/>
    <n v="1"/>
    <n v="2"/>
    <s v="30-39"/>
  </r>
  <r>
    <n v="42"/>
    <x v="1"/>
    <s v="Non-Travel"/>
    <n v="926"/>
    <x v="1"/>
    <n v="21"/>
    <n v="2"/>
    <s v="Medical"/>
    <n v="270"/>
    <n v="3"/>
    <s v="Female"/>
    <n v="36"/>
    <n v="3"/>
    <n v="2"/>
    <x v="3"/>
    <n v="3"/>
    <s v="Divorced"/>
    <n v="5265"/>
    <n v="16439"/>
    <n v="2"/>
    <x v="1"/>
    <n v="16"/>
    <n v="3"/>
    <n v="2"/>
    <n v="1"/>
    <n v="11"/>
    <n v="5"/>
    <n v="3"/>
    <n v="5"/>
    <n v="3"/>
    <n v="0"/>
    <n v="2"/>
    <s v="40-49"/>
  </r>
  <r>
    <n v="38"/>
    <x v="1"/>
    <s v="Travel_Rarely"/>
    <n v="1261"/>
    <x v="1"/>
    <n v="2"/>
    <n v="4"/>
    <s v="Life Sciences"/>
    <n v="271"/>
    <n v="4"/>
    <s v="Male"/>
    <n v="88"/>
    <n v="3"/>
    <n v="2"/>
    <x v="3"/>
    <n v="3"/>
    <s v="Married"/>
    <n v="6553"/>
    <n v="7259"/>
    <n v="9"/>
    <x v="1"/>
    <n v="14"/>
    <n v="3"/>
    <n v="2"/>
    <n v="0"/>
    <n v="14"/>
    <n v="3"/>
    <n v="3"/>
    <n v="1"/>
    <n v="0"/>
    <n v="0"/>
    <n v="0"/>
    <s v="30-39"/>
  </r>
  <r>
    <n v="38"/>
    <x v="1"/>
    <s v="Travel_Rarely"/>
    <n v="1084"/>
    <x v="1"/>
    <n v="29"/>
    <n v="3"/>
    <s v="Technical Degree"/>
    <n v="273"/>
    <n v="4"/>
    <s v="Male"/>
    <n v="54"/>
    <n v="3"/>
    <n v="2"/>
    <x v="3"/>
    <n v="4"/>
    <s v="Married"/>
    <n v="6261"/>
    <n v="4185"/>
    <n v="3"/>
    <x v="1"/>
    <n v="18"/>
    <n v="3"/>
    <n v="1"/>
    <n v="1"/>
    <n v="9"/>
    <n v="3"/>
    <n v="1"/>
    <n v="7"/>
    <n v="7"/>
    <n v="1"/>
    <n v="7"/>
    <s v="30-39"/>
  </r>
  <r>
    <n v="27"/>
    <x v="1"/>
    <s v="Travel_Frequently"/>
    <n v="472"/>
    <x v="1"/>
    <n v="1"/>
    <n v="1"/>
    <s v="Technical Degree"/>
    <n v="274"/>
    <n v="3"/>
    <s v="Male"/>
    <n v="60"/>
    <n v="2"/>
    <n v="2"/>
    <x v="3"/>
    <n v="1"/>
    <s v="Married"/>
    <n v="4298"/>
    <n v="9679"/>
    <n v="5"/>
    <x v="1"/>
    <n v="19"/>
    <n v="3"/>
    <n v="3"/>
    <n v="1"/>
    <n v="6"/>
    <n v="1"/>
    <n v="3"/>
    <n v="2"/>
    <n v="2"/>
    <n v="2"/>
    <n v="0"/>
    <s v="Below 30"/>
  </r>
  <r>
    <n v="49"/>
    <x v="1"/>
    <s v="Non-Travel"/>
    <n v="1002"/>
    <x v="1"/>
    <n v="18"/>
    <n v="4"/>
    <s v="Life Sciences"/>
    <n v="275"/>
    <n v="4"/>
    <s v="Male"/>
    <n v="92"/>
    <n v="3"/>
    <n v="2"/>
    <x v="3"/>
    <n v="4"/>
    <s v="Divorced"/>
    <n v="6804"/>
    <n v="23793"/>
    <n v="1"/>
    <x v="0"/>
    <n v="15"/>
    <n v="3"/>
    <n v="1"/>
    <n v="2"/>
    <n v="7"/>
    <n v="0"/>
    <n v="3"/>
    <n v="7"/>
    <n v="7"/>
    <n v="1"/>
    <n v="7"/>
    <s v="40-49"/>
  </r>
  <r>
    <n v="34"/>
    <x v="1"/>
    <s v="Travel_Frequently"/>
    <n v="878"/>
    <x v="1"/>
    <n v="10"/>
    <n v="4"/>
    <s v="Medical"/>
    <n v="277"/>
    <n v="4"/>
    <s v="Male"/>
    <n v="43"/>
    <n v="3"/>
    <n v="1"/>
    <x v="1"/>
    <n v="3"/>
    <s v="Divorced"/>
    <n v="3815"/>
    <n v="5972"/>
    <n v="1"/>
    <x v="0"/>
    <n v="17"/>
    <n v="3"/>
    <n v="4"/>
    <n v="1"/>
    <n v="5"/>
    <n v="4"/>
    <n v="4"/>
    <n v="5"/>
    <n v="3"/>
    <n v="2"/>
    <n v="0"/>
    <s v="30-39"/>
  </r>
  <r>
    <n v="40"/>
    <x v="1"/>
    <s v="Travel_Rarely"/>
    <n v="905"/>
    <x v="1"/>
    <n v="19"/>
    <n v="2"/>
    <s v="Medical"/>
    <n v="281"/>
    <n v="3"/>
    <s v="Male"/>
    <n v="99"/>
    <n v="3"/>
    <n v="2"/>
    <x v="2"/>
    <n v="4"/>
    <s v="Married"/>
    <n v="2741"/>
    <n v="16523"/>
    <n v="8"/>
    <x v="0"/>
    <n v="15"/>
    <n v="3"/>
    <n v="3"/>
    <n v="1"/>
    <n v="15"/>
    <n v="2"/>
    <n v="4"/>
    <n v="7"/>
    <n v="2"/>
    <n v="3"/>
    <n v="7"/>
    <s v="40-49"/>
  </r>
  <r>
    <n v="38"/>
    <x v="0"/>
    <s v="Travel_Rarely"/>
    <n v="1180"/>
    <x v="1"/>
    <n v="29"/>
    <n v="1"/>
    <s v="Medical"/>
    <n v="282"/>
    <n v="2"/>
    <s v="Male"/>
    <n v="70"/>
    <n v="3"/>
    <n v="2"/>
    <x v="4"/>
    <n v="1"/>
    <s v="Married"/>
    <n v="6673"/>
    <n v="11354"/>
    <n v="7"/>
    <x v="0"/>
    <n v="19"/>
    <n v="3"/>
    <n v="2"/>
    <n v="0"/>
    <n v="17"/>
    <n v="2"/>
    <n v="3"/>
    <n v="1"/>
    <n v="0"/>
    <n v="0"/>
    <n v="0"/>
    <s v="30-39"/>
  </r>
  <r>
    <n v="29"/>
    <x v="0"/>
    <s v="Travel_Rarely"/>
    <n v="121"/>
    <x v="0"/>
    <n v="27"/>
    <n v="3"/>
    <s v="Marketing"/>
    <n v="283"/>
    <n v="2"/>
    <s v="Female"/>
    <n v="35"/>
    <n v="3"/>
    <n v="3"/>
    <x v="0"/>
    <n v="4"/>
    <s v="Married"/>
    <n v="7639"/>
    <n v="24525"/>
    <n v="1"/>
    <x v="1"/>
    <n v="22"/>
    <n v="4"/>
    <n v="4"/>
    <n v="3"/>
    <n v="10"/>
    <n v="3"/>
    <n v="2"/>
    <n v="10"/>
    <n v="4"/>
    <n v="1"/>
    <n v="9"/>
    <s v="Below 30"/>
  </r>
  <r>
    <n v="22"/>
    <x v="1"/>
    <s v="Travel_Rarely"/>
    <n v="1136"/>
    <x v="1"/>
    <n v="5"/>
    <n v="3"/>
    <s v="Life Sciences"/>
    <n v="284"/>
    <n v="4"/>
    <s v="Male"/>
    <n v="60"/>
    <n v="4"/>
    <n v="1"/>
    <x v="1"/>
    <n v="2"/>
    <s v="Divorced"/>
    <n v="2328"/>
    <n v="12392"/>
    <n v="1"/>
    <x v="0"/>
    <n v="16"/>
    <n v="3"/>
    <n v="1"/>
    <n v="1"/>
    <n v="4"/>
    <n v="2"/>
    <n v="2"/>
    <n v="4"/>
    <n v="2"/>
    <n v="2"/>
    <n v="2"/>
    <s v="Below 30"/>
  </r>
  <r>
    <n v="36"/>
    <x v="1"/>
    <s v="Travel_Frequently"/>
    <n v="635"/>
    <x v="1"/>
    <n v="18"/>
    <n v="1"/>
    <s v="Medical"/>
    <n v="286"/>
    <n v="2"/>
    <s v="Female"/>
    <n v="73"/>
    <n v="3"/>
    <n v="1"/>
    <x v="2"/>
    <n v="4"/>
    <s v="Single"/>
    <n v="2153"/>
    <n v="7703"/>
    <n v="1"/>
    <x v="1"/>
    <n v="13"/>
    <n v="3"/>
    <n v="1"/>
    <n v="0"/>
    <n v="8"/>
    <n v="2"/>
    <n v="3"/>
    <n v="8"/>
    <n v="1"/>
    <n v="1"/>
    <n v="7"/>
    <s v="30-39"/>
  </r>
  <r>
    <n v="40"/>
    <x v="1"/>
    <s v="Non-Travel"/>
    <n v="1151"/>
    <x v="1"/>
    <n v="9"/>
    <n v="5"/>
    <s v="Life Sciences"/>
    <n v="287"/>
    <n v="4"/>
    <s v="Male"/>
    <n v="63"/>
    <n v="2"/>
    <n v="2"/>
    <x v="4"/>
    <n v="4"/>
    <s v="Married"/>
    <n v="4876"/>
    <n v="14242"/>
    <n v="9"/>
    <x v="1"/>
    <n v="14"/>
    <n v="3"/>
    <n v="4"/>
    <n v="1"/>
    <n v="5"/>
    <n v="5"/>
    <n v="1"/>
    <n v="3"/>
    <n v="2"/>
    <n v="0"/>
    <n v="2"/>
    <s v="40-49"/>
  </r>
  <r>
    <n v="46"/>
    <x v="1"/>
    <s v="Travel_Rarely"/>
    <n v="644"/>
    <x v="1"/>
    <n v="1"/>
    <n v="4"/>
    <s v="Medical"/>
    <n v="288"/>
    <n v="4"/>
    <s v="Male"/>
    <n v="97"/>
    <n v="3"/>
    <n v="3"/>
    <x v="4"/>
    <n v="1"/>
    <s v="Divorced"/>
    <n v="9396"/>
    <n v="12368"/>
    <n v="7"/>
    <x v="1"/>
    <n v="16"/>
    <n v="3"/>
    <n v="3"/>
    <n v="1"/>
    <n v="17"/>
    <n v="3"/>
    <n v="3"/>
    <n v="4"/>
    <n v="2"/>
    <n v="0"/>
    <n v="3"/>
    <s v="40-49"/>
  </r>
  <r>
    <n v="32"/>
    <x v="0"/>
    <s v="Travel_Rarely"/>
    <n v="1045"/>
    <x v="0"/>
    <n v="4"/>
    <n v="4"/>
    <s v="Medical"/>
    <n v="291"/>
    <n v="4"/>
    <s v="Male"/>
    <n v="32"/>
    <n v="1"/>
    <n v="3"/>
    <x v="0"/>
    <n v="4"/>
    <s v="Married"/>
    <n v="10400"/>
    <n v="25812"/>
    <n v="1"/>
    <x v="1"/>
    <n v="11"/>
    <n v="3"/>
    <n v="3"/>
    <n v="0"/>
    <n v="14"/>
    <n v="2"/>
    <n v="2"/>
    <n v="14"/>
    <n v="8"/>
    <n v="9"/>
    <n v="8"/>
    <s v="30-39"/>
  </r>
  <r>
    <n v="30"/>
    <x v="1"/>
    <s v="Non-Travel"/>
    <n v="829"/>
    <x v="1"/>
    <n v="1"/>
    <n v="1"/>
    <s v="Life Sciences"/>
    <n v="292"/>
    <n v="3"/>
    <s v="Male"/>
    <n v="88"/>
    <n v="2"/>
    <n v="3"/>
    <x v="3"/>
    <n v="3"/>
    <s v="Single"/>
    <n v="8474"/>
    <n v="20925"/>
    <n v="1"/>
    <x v="1"/>
    <n v="22"/>
    <n v="4"/>
    <n v="3"/>
    <n v="0"/>
    <n v="12"/>
    <n v="2"/>
    <n v="3"/>
    <n v="11"/>
    <n v="8"/>
    <n v="5"/>
    <n v="8"/>
    <s v="30-39"/>
  </r>
  <r>
    <n v="27"/>
    <x v="1"/>
    <s v="Travel_Frequently"/>
    <n v="1242"/>
    <x v="0"/>
    <n v="20"/>
    <n v="3"/>
    <s v="Life Sciences"/>
    <n v="293"/>
    <n v="4"/>
    <s v="Female"/>
    <n v="90"/>
    <n v="3"/>
    <n v="2"/>
    <x v="0"/>
    <n v="3"/>
    <s v="Single"/>
    <n v="9981"/>
    <n v="12916"/>
    <n v="1"/>
    <x v="1"/>
    <n v="14"/>
    <n v="3"/>
    <n v="4"/>
    <n v="0"/>
    <n v="7"/>
    <n v="2"/>
    <n v="3"/>
    <n v="7"/>
    <n v="7"/>
    <n v="0"/>
    <n v="7"/>
    <s v="Below 30"/>
  </r>
  <r>
    <n v="51"/>
    <x v="1"/>
    <s v="Travel_Rarely"/>
    <n v="1469"/>
    <x v="1"/>
    <n v="8"/>
    <n v="4"/>
    <s v="Life Sciences"/>
    <n v="296"/>
    <n v="2"/>
    <s v="Male"/>
    <n v="81"/>
    <n v="2"/>
    <n v="3"/>
    <x v="7"/>
    <n v="2"/>
    <s v="Married"/>
    <n v="12490"/>
    <n v="15736"/>
    <n v="5"/>
    <x v="1"/>
    <n v="16"/>
    <n v="3"/>
    <n v="4"/>
    <n v="2"/>
    <n v="16"/>
    <n v="5"/>
    <n v="1"/>
    <n v="10"/>
    <n v="9"/>
    <n v="4"/>
    <n v="7"/>
    <s v="50+"/>
  </r>
  <r>
    <n v="30"/>
    <x v="0"/>
    <s v="Travel_Rarely"/>
    <n v="1005"/>
    <x v="1"/>
    <n v="3"/>
    <n v="3"/>
    <s v="Technical Degree"/>
    <n v="297"/>
    <n v="4"/>
    <s v="Female"/>
    <n v="88"/>
    <n v="3"/>
    <n v="1"/>
    <x v="1"/>
    <n v="1"/>
    <s v="Single"/>
    <n v="2657"/>
    <n v="8556"/>
    <n v="5"/>
    <x v="0"/>
    <n v="11"/>
    <n v="3"/>
    <n v="3"/>
    <n v="0"/>
    <n v="8"/>
    <n v="5"/>
    <n v="3"/>
    <n v="5"/>
    <n v="2"/>
    <n v="0"/>
    <n v="4"/>
    <s v="30-39"/>
  </r>
  <r>
    <n v="41"/>
    <x v="1"/>
    <s v="Travel_Rarely"/>
    <n v="896"/>
    <x v="0"/>
    <n v="6"/>
    <n v="3"/>
    <s v="Life Sciences"/>
    <n v="298"/>
    <n v="4"/>
    <s v="Female"/>
    <n v="75"/>
    <n v="3"/>
    <n v="3"/>
    <x v="5"/>
    <n v="4"/>
    <s v="Single"/>
    <n v="13591"/>
    <n v="14674"/>
    <n v="3"/>
    <x v="0"/>
    <n v="18"/>
    <n v="3"/>
    <n v="3"/>
    <n v="0"/>
    <n v="16"/>
    <n v="3"/>
    <n v="3"/>
    <n v="1"/>
    <n v="0"/>
    <n v="0"/>
    <n v="0"/>
    <s v="40-49"/>
  </r>
  <r>
    <n v="30"/>
    <x v="0"/>
    <s v="Travel_Frequently"/>
    <n v="334"/>
    <x v="0"/>
    <n v="26"/>
    <n v="4"/>
    <s v="Marketing"/>
    <n v="299"/>
    <n v="3"/>
    <s v="Female"/>
    <n v="52"/>
    <n v="2"/>
    <n v="2"/>
    <x v="0"/>
    <n v="1"/>
    <s v="Single"/>
    <n v="6696"/>
    <n v="22967"/>
    <n v="5"/>
    <x v="1"/>
    <n v="15"/>
    <n v="3"/>
    <n v="3"/>
    <n v="0"/>
    <n v="9"/>
    <n v="5"/>
    <n v="2"/>
    <n v="6"/>
    <n v="3"/>
    <n v="0"/>
    <n v="1"/>
    <s v="30-39"/>
  </r>
  <r>
    <n v="29"/>
    <x v="0"/>
    <s v="Travel_Rarely"/>
    <n v="992"/>
    <x v="1"/>
    <n v="1"/>
    <n v="3"/>
    <s v="Technical Degree"/>
    <n v="300"/>
    <n v="3"/>
    <s v="Male"/>
    <n v="85"/>
    <n v="3"/>
    <n v="1"/>
    <x v="1"/>
    <n v="3"/>
    <s v="Single"/>
    <n v="2058"/>
    <n v="19757"/>
    <n v="0"/>
    <x v="1"/>
    <n v="14"/>
    <n v="3"/>
    <n v="4"/>
    <n v="0"/>
    <n v="7"/>
    <n v="1"/>
    <n v="2"/>
    <n v="6"/>
    <n v="2"/>
    <n v="1"/>
    <n v="5"/>
    <s v="Below 30"/>
  </r>
  <r>
    <n v="45"/>
    <x v="1"/>
    <s v="Non-Travel"/>
    <n v="1052"/>
    <x v="0"/>
    <n v="6"/>
    <n v="3"/>
    <s v="Medical"/>
    <n v="302"/>
    <n v="4"/>
    <s v="Female"/>
    <n v="57"/>
    <n v="2"/>
    <n v="3"/>
    <x v="0"/>
    <n v="4"/>
    <s v="Single"/>
    <n v="8865"/>
    <n v="16840"/>
    <n v="6"/>
    <x v="1"/>
    <n v="12"/>
    <n v="3"/>
    <n v="4"/>
    <n v="0"/>
    <n v="23"/>
    <n v="2"/>
    <n v="3"/>
    <n v="19"/>
    <n v="7"/>
    <n v="12"/>
    <n v="8"/>
    <s v="40-49"/>
  </r>
  <r>
    <n v="54"/>
    <x v="1"/>
    <s v="Travel_Rarely"/>
    <n v="1147"/>
    <x v="0"/>
    <n v="3"/>
    <n v="3"/>
    <s v="Marketing"/>
    <n v="303"/>
    <n v="4"/>
    <s v="Female"/>
    <n v="52"/>
    <n v="3"/>
    <n v="2"/>
    <x v="0"/>
    <n v="1"/>
    <s v="Married"/>
    <n v="5940"/>
    <n v="17011"/>
    <n v="2"/>
    <x v="1"/>
    <n v="14"/>
    <n v="3"/>
    <n v="4"/>
    <n v="1"/>
    <n v="16"/>
    <n v="4"/>
    <n v="3"/>
    <n v="6"/>
    <n v="2"/>
    <n v="0"/>
    <n v="5"/>
    <s v="50+"/>
  </r>
  <r>
    <n v="36"/>
    <x v="1"/>
    <s v="Travel_Rarely"/>
    <n v="1396"/>
    <x v="1"/>
    <n v="5"/>
    <n v="2"/>
    <s v="Life Sciences"/>
    <n v="304"/>
    <n v="4"/>
    <s v="Male"/>
    <n v="62"/>
    <n v="3"/>
    <n v="2"/>
    <x v="2"/>
    <n v="2"/>
    <s v="Single"/>
    <n v="5914"/>
    <n v="9945"/>
    <n v="8"/>
    <x v="1"/>
    <n v="16"/>
    <n v="3"/>
    <n v="4"/>
    <n v="0"/>
    <n v="16"/>
    <n v="3"/>
    <n v="4"/>
    <n v="13"/>
    <n v="11"/>
    <n v="3"/>
    <n v="7"/>
    <s v="30-39"/>
  </r>
  <r>
    <n v="33"/>
    <x v="1"/>
    <s v="Travel_Rarely"/>
    <n v="147"/>
    <x v="1"/>
    <n v="4"/>
    <n v="4"/>
    <s v="Medical"/>
    <n v="305"/>
    <n v="3"/>
    <s v="Female"/>
    <n v="47"/>
    <n v="2"/>
    <n v="1"/>
    <x v="1"/>
    <n v="2"/>
    <s v="Married"/>
    <n v="2622"/>
    <n v="13248"/>
    <n v="6"/>
    <x v="1"/>
    <n v="21"/>
    <n v="4"/>
    <n v="4"/>
    <n v="0"/>
    <n v="7"/>
    <n v="3"/>
    <n v="3"/>
    <n v="3"/>
    <n v="2"/>
    <n v="1"/>
    <n v="1"/>
    <s v="30-39"/>
  </r>
  <r>
    <n v="37"/>
    <x v="1"/>
    <s v="Travel_Frequently"/>
    <n v="663"/>
    <x v="1"/>
    <n v="11"/>
    <n v="3"/>
    <s v="Other"/>
    <n v="306"/>
    <n v="2"/>
    <s v="Male"/>
    <n v="47"/>
    <n v="3"/>
    <n v="3"/>
    <x v="7"/>
    <n v="4"/>
    <s v="Divorced"/>
    <n v="12185"/>
    <n v="10056"/>
    <n v="1"/>
    <x v="0"/>
    <n v="14"/>
    <n v="3"/>
    <n v="3"/>
    <n v="3"/>
    <n v="10"/>
    <n v="1"/>
    <n v="3"/>
    <n v="10"/>
    <n v="8"/>
    <n v="0"/>
    <n v="7"/>
    <s v="30-39"/>
  </r>
  <r>
    <n v="38"/>
    <x v="1"/>
    <s v="Travel_Rarely"/>
    <n v="119"/>
    <x v="0"/>
    <n v="3"/>
    <n v="3"/>
    <s v="Life Sciences"/>
    <n v="307"/>
    <n v="1"/>
    <s v="Male"/>
    <n v="76"/>
    <n v="3"/>
    <n v="3"/>
    <x v="0"/>
    <n v="3"/>
    <s v="Divorced"/>
    <n v="10609"/>
    <n v="9647"/>
    <n v="0"/>
    <x v="1"/>
    <n v="12"/>
    <n v="3"/>
    <n v="3"/>
    <n v="2"/>
    <n v="17"/>
    <n v="6"/>
    <n v="2"/>
    <n v="16"/>
    <n v="10"/>
    <n v="5"/>
    <n v="13"/>
    <s v="30-39"/>
  </r>
  <r>
    <n v="31"/>
    <x v="1"/>
    <s v="Non-Travel"/>
    <n v="979"/>
    <x v="1"/>
    <n v="1"/>
    <n v="4"/>
    <s v="Medical"/>
    <n v="308"/>
    <n v="3"/>
    <s v="Male"/>
    <n v="90"/>
    <n v="1"/>
    <n v="2"/>
    <x v="3"/>
    <n v="3"/>
    <s v="Married"/>
    <n v="4345"/>
    <n v="4381"/>
    <n v="0"/>
    <x v="1"/>
    <n v="12"/>
    <n v="3"/>
    <n v="4"/>
    <n v="1"/>
    <n v="6"/>
    <n v="2"/>
    <n v="3"/>
    <n v="5"/>
    <n v="4"/>
    <n v="1"/>
    <n v="4"/>
    <s v="30-39"/>
  </r>
  <r>
    <n v="59"/>
    <x v="1"/>
    <s v="Travel_Rarely"/>
    <n v="142"/>
    <x v="1"/>
    <n v="3"/>
    <n v="3"/>
    <s v="Life Sciences"/>
    <n v="309"/>
    <n v="3"/>
    <s v="Male"/>
    <n v="70"/>
    <n v="2"/>
    <n v="1"/>
    <x v="1"/>
    <n v="4"/>
    <s v="Married"/>
    <n v="2177"/>
    <n v="8456"/>
    <n v="3"/>
    <x v="1"/>
    <n v="17"/>
    <n v="3"/>
    <n v="1"/>
    <n v="1"/>
    <n v="7"/>
    <n v="6"/>
    <n v="3"/>
    <n v="1"/>
    <n v="0"/>
    <n v="0"/>
    <n v="0"/>
    <s v="50+"/>
  </r>
  <r>
    <n v="37"/>
    <x v="1"/>
    <s v="Travel_Frequently"/>
    <n v="319"/>
    <x v="0"/>
    <n v="4"/>
    <n v="4"/>
    <s v="Marketing"/>
    <n v="311"/>
    <n v="1"/>
    <s v="Male"/>
    <n v="41"/>
    <n v="3"/>
    <n v="1"/>
    <x v="6"/>
    <n v="4"/>
    <s v="Divorced"/>
    <n v="2793"/>
    <n v="2539"/>
    <n v="4"/>
    <x v="1"/>
    <n v="17"/>
    <n v="3"/>
    <n v="3"/>
    <n v="1"/>
    <n v="13"/>
    <n v="2"/>
    <n v="3"/>
    <n v="9"/>
    <n v="8"/>
    <n v="5"/>
    <n v="8"/>
    <s v="30-39"/>
  </r>
  <r>
    <n v="29"/>
    <x v="1"/>
    <s v="Travel_Frequently"/>
    <n v="1413"/>
    <x v="0"/>
    <n v="1"/>
    <n v="1"/>
    <s v="Medical"/>
    <n v="312"/>
    <n v="2"/>
    <s v="Female"/>
    <n v="42"/>
    <n v="3"/>
    <n v="3"/>
    <x v="0"/>
    <n v="4"/>
    <s v="Married"/>
    <n v="7918"/>
    <n v="6599"/>
    <n v="1"/>
    <x v="1"/>
    <n v="14"/>
    <n v="3"/>
    <n v="4"/>
    <n v="1"/>
    <n v="11"/>
    <n v="5"/>
    <n v="3"/>
    <n v="11"/>
    <n v="10"/>
    <n v="4"/>
    <n v="1"/>
    <s v="Below 30"/>
  </r>
  <r>
    <n v="35"/>
    <x v="1"/>
    <s v="Travel_Frequently"/>
    <n v="944"/>
    <x v="0"/>
    <n v="1"/>
    <n v="3"/>
    <s v="Marketing"/>
    <n v="314"/>
    <n v="3"/>
    <s v="Female"/>
    <n v="92"/>
    <n v="3"/>
    <n v="3"/>
    <x v="0"/>
    <n v="3"/>
    <s v="Single"/>
    <n v="8789"/>
    <n v="9096"/>
    <n v="1"/>
    <x v="1"/>
    <n v="14"/>
    <n v="3"/>
    <n v="1"/>
    <n v="0"/>
    <n v="10"/>
    <n v="3"/>
    <n v="4"/>
    <n v="10"/>
    <n v="7"/>
    <n v="0"/>
    <n v="8"/>
    <s v="30-39"/>
  </r>
  <r>
    <n v="29"/>
    <x v="0"/>
    <s v="Travel_Rarely"/>
    <n v="896"/>
    <x v="1"/>
    <n v="18"/>
    <n v="1"/>
    <s v="Medical"/>
    <n v="315"/>
    <n v="3"/>
    <s v="Male"/>
    <n v="86"/>
    <n v="2"/>
    <n v="1"/>
    <x v="1"/>
    <n v="4"/>
    <s v="Single"/>
    <n v="2389"/>
    <n v="14961"/>
    <n v="1"/>
    <x v="0"/>
    <n v="13"/>
    <n v="3"/>
    <n v="3"/>
    <n v="0"/>
    <n v="4"/>
    <n v="3"/>
    <n v="2"/>
    <n v="4"/>
    <n v="3"/>
    <n v="0"/>
    <n v="1"/>
    <s v="Below 30"/>
  </r>
  <r>
    <n v="52"/>
    <x v="1"/>
    <s v="Travel_Rarely"/>
    <n v="1323"/>
    <x v="1"/>
    <n v="2"/>
    <n v="3"/>
    <s v="Life Sciences"/>
    <n v="316"/>
    <n v="3"/>
    <s v="Female"/>
    <n v="89"/>
    <n v="2"/>
    <n v="1"/>
    <x v="2"/>
    <n v="4"/>
    <s v="Single"/>
    <n v="3212"/>
    <n v="3300"/>
    <n v="7"/>
    <x v="1"/>
    <n v="15"/>
    <n v="3"/>
    <n v="2"/>
    <n v="0"/>
    <n v="6"/>
    <n v="3"/>
    <n v="2"/>
    <n v="2"/>
    <n v="2"/>
    <n v="2"/>
    <n v="2"/>
    <s v="50+"/>
  </r>
  <r>
    <n v="42"/>
    <x v="1"/>
    <s v="Travel_Rarely"/>
    <n v="532"/>
    <x v="1"/>
    <n v="4"/>
    <n v="2"/>
    <s v="Technical Degree"/>
    <n v="319"/>
    <n v="3"/>
    <s v="Male"/>
    <n v="58"/>
    <n v="3"/>
    <n v="5"/>
    <x v="5"/>
    <n v="4"/>
    <s v="Married"/>
    <n v="19232"/>
    <n v="4933"/>
    <n v="1"/>
    <x v="1"/>
    <n v="11"/>
    <n v="3"/>
    <n v="4"/>
    <n v="0"/>
    <n v="22"/>
    <n v="3"/>
    <n v="3"/>
    <n v="22"/>
    <n v="17"/>
    <n v="11"/>
    <n v="15"/>
    <s v="40-49"/>
  </r>
  <r>
    <n v="59"/>
    <x v="1"/>
    <s v="Travel_Rarely"/>
    <n v="818"/>
    <x v="2"/>
    <n v="6"/>
    <n v="2"/>
    <s v="Medical"/>
    <n v="321"/>
    <n v="2"/>
    <s v="Male"/>
    <n v="52"/>
    <n v="3"/>
    <n v="1"/>
    <x v="8"/>
    <n v="3"/>
    <s v="Married"/>
    <n v="2267"/>
    <n v="25657"/>
    <n v="8"/>
    <x v="1"/>
    <n v="17"/>
    <n v="3"/>
    <n v="4"/>
    <n v="0"/>
    <n v="7"/>
    <n v="2"/>
    <n v="2"/>
    <n v="2"/>
    <n v="2"/>
    <n v="2"/>
    <n v="2"/>
    <s v="50+"/>
  </r>
  <r>
    <n v="50"/>
    <x v="1"/>
    <s v="Travel_Rarely"/>
    <n v="854"/>
    <x v="0"/>
    <n v="1"/>
    <n v="4"/>
    <s v="Medical"/>
    <n v="323"/>
    <n v="4"/>
    <s v="Female"/>
    <n v="68"/>
    <n v="3"/>
    <n v="5"/>
    <x v="5"/>
    <n v="4"/>
    <s v="Divorced"/>
    <n v="19517"/>
    <n v="24118"/>
    <n v="3"/>
    <x v="1"/>
    <n v="11"/>
    <n v="3"/>
    <n v="3"/>
    <n v="1"/>
    <n v="32"/>
    <n v="3"/>
    <n v="2"/>
    <n v="7"/>
    <n v="0"/>
    <n v="0"/>
    <n v="6"/>
    <s v="50+"/>
  </r>
  <r>
    <n v="33"/>
    <x v="0"/>
    <s v="Travel_Rarely"/>
    <n v="813"/>
    <x v="1"/>
    <n v="14"/>
    <n v="3"/>
    <s v="Medical"/>
    <n v="325"/>
    <n v="3"/>
    <s v="Male"/>
    <n v="58"/>
    <n v="3"/>
    <n v="1"/>
    <x v="2"/>
    <n v="4"/>
    <s v="Married"/>
    <n v="2436"/>
    <n v="22149"/>
    <n v="5"/>
    <x v="0"/>
    <n v="13"/>
    <n v="3"/>
    <n v="3"/>
    <n v="1"/>
    <n v="8"/>
    <n v="2"/>
    <n v="1"/>
    <n v="5"/>
    <n v="4"/>
    <n v="0"/>
    <n v="4"/>
    <s v="30-39"/>
  </r>
  <r>
    <n v="43"/>
    <x v="1"/>
    <s v="Travel_Rarely"/>
    <n v="1034"/>
    <x v="0"/>
    <n v="16"/>
    <n v="3"/>
    <s v="Marketing"/>
    <n v="327"/>
    <n v="4"/>
    <s v="Female"/>
    <n v="80"/>
    <n v="3"/>
    <n v="4"/>
    <x v="5"/>
    <n v="4"/>
    <s v="Married"/>
    <n v="16064"/>
    <n v="7744"/>
    <n v="5"/>
    <x v="0"/>
    <n v="22"/>
    <n v="4"/>
    <n v="3"/>
    <n v="1"/>
    <n v="22"/>
    <n v="3"/>
    <n v="3"/>
    <n v="17"/>
    <n v="13"/>
    <n v="1"/>
    <n v="9"/>
    <s v="40-49"/>
  </r>
  <r>
    <n v="33"/>
    <x v="0"/>
    <s v="Travel_Rarely"/>
    <n v="465"/>
    <x v="1"/>
    <n v="2"/>
    <n v="2"/>
    <s v="Life Sciences"/>
    <n v="328"/>
    <n v="1"/>
    <s v="Female"/>
    <n v="39"/>
    <n v="3"/>
    <n v="1"/>
    <x v="2"/>
    <n v="1"/>
    <s v="Married"/>
    <n v="2707"/>
    <n v="21509"/>
    <n v="7"/>
    <x v="1"/>
    <n v="20"/>
    <n v="4"/>
    <n v="1"/>
    <n v="0"/>
    <n v="13"/>
    <n v="3"/>
    <n v="4"/>
    <n v="9"/>
    <n v="7"/>
    <n v="1"/>
    <n v="7"/>
    <s v="30-39"/>
  </r>
  <r>
    <n v="52"/>
    <x v="1"/>
    <s v="Non-Travel"/>
    <n v="771"/>
    <x v="0"/>
    <n v="2"/>
    <n v="4"/>
    <s v="Life Sciences"/>
    <n v="329"/>
    <n v="1"/>
    <s v="Male"/>
    <n v="79"/>
    <n v="2"/>
    <n v="5"/>
    <x v="5"/>
    <n v="3"/>
    <s v="Single"/>
    <n v="19068"/>
    <n v="21030"/>
    <n v="1"/>
    <x v="0"/>
    <n v="18"/>
    <n v="3"/>
    <n v="4"/>
    <n v="0"/>
    <n v="33"/>
    <n v="2"/>
    <n v="4"/>
    <n v="33"/>
    <n v="7"/>
    <n v="15"/>
    <n v="12"/>
    <s v="50+"/>
  </r>
  <r>
    <n v="32"/>
    <x v="1"/>
    <s v="Travel_Rarely"/>
    <n v="1401"/>
    <x v="0"/>
    <n v="4"/>
    <n v="2"/>
    <s v="Life Sciences"/>
    <n v="330"/>
    <n v="3"/>
    <s v="Female"/>
    <n v="56"/>
    <n v="3"/>
    <n v="1"/>
    <x v="6"/>
    <n v="2"/>
    <s v="Married"/>
    <n v="3931"/>
    <n v="20990"/>
    <n v="2"/>
    <x v="1"/>
    <n v="11"/>
    <n v="3"/>
    <n v="1"/>
    <n v="1"/>
    <n v="6"/>
    <n v="5"/>
    <n v="3"/>
    <n v="4"/>
    <n v="3"/>
    <n v="1"/>
    <n v="2"/>
    <s v="30-39"/>
  </r>
  <r>
    <n v="32"/>
    <x v="0"/>
    <s v="Travel_Rarely"/>
    <n v="515"/>
    <x v="1"/>
    <n v="1"/>
    <n v="3"/>
    <s v="Life Sciences"/>
    <n v="331"/>
    <n v="4"/>
    <s v="Male"/>
    <n v="62"/>
    <n v="2"/>
    <n v="1"/>
    <x v="2"/>
    <n v="3"/>
    <s v="Single"/>
    <n v="3730"/>
    <n v="9571"/>
    <n v="0"/>
    <x v="0"/>
    <n v="14"/>
    <n v="3"/>
    <n v="4"/>
    <n v="0"/>
    <n v="4"/>
    <n v="2"/>
    <n v="1"/>
    <n v="3"/>
    <n v="2"/>
    <n v="1"/>
    <n v="2"/>
    <s v="30-39"/>
  </r>
  <r>
    <n v="39"/>
    <x v="1"/>
    <s v="Travel_Rarely"/>
    <n v="1431"/>
    <x v="1"/>
    <n v="1"/>
    <n v="4"/>
    <s v="Medical"/>
    <n v="332"/>
    <n v="3"/>
    <s v="Female"/>
    <n v="96"/>
    <n v="3"/>
    <n v="1"/>
    <x v="2"/>
    <n v="3"/>
    <s v="Divorced"/>
    <n v="2232"/>
    <n v="15417"/>
    <n v="7"/>
    <x v="1"/>
    <n v="14"/>
    <n v="3"/>
    <n v="3"/>
    <n v="3"/>
    <n v="7"/>
    <n v="1"/>
    <n v="3"/>
    <n v="3"/>
    <n v="2"/>
    <n v="1"/>
    <n v="2"/>
    <s v="30-39"/>
  </r>
  <r>
    <n v="32"/>
    <x v="1"/>
    <s v="Non-Travel"/>
    <n v="976"/>
    <x v="0"/>
    <n v="26"/>
    <n v="4"/>
    <s v="Marketing"/>
    <n v="333"/>
    <n v="3"/>
    <s v="Male"/>
    <n v="100"/>
    <n v="3"/>
    <n v="2"/>
    <x v="0"/>
    <n v="4"/>
    <s v="Married"/>
    <n v="4465"/>
    <n v="12069"/>
    <n v="0"/>
    <x v="1"/>
    <n v="18"/>
    <n v="3"/>
    <n v="1"/>
    <n v="0"/>
    <n v="4"/>
    <n v="2"/>
    <n v="3"/>
    <n v="3"/>
    <n v="2"/>
    <n v="2"/>
    <n v="2"/>
    <s v="30-39"/>
  </r>
  <r>
    <n v="41"/>
    <x v="1"/>
    <s v="Travel_Rarely"/>
    <n v="1411"/>
    <x v="1"/>
    <n v="19"/>
    <n v="2"/>
    <s v="Life Sciences"/>
    <n v="334"/>
    <n v="3"/>
    <s v="Male"/>
    <n v="36"/>
    <n v="3"/>
    <n v="2"/>
    <x v="1"/>
    <n v="1"/>
    <s v="Divorced"/>
    <n v="3072"/>
    <n v="19877"/>
    <n v="2"/>
    <x v="1"/>
    <n v="16"/>
    <n v="3"/>
    <n v="1"/>
    <n v="2"/>
    <n v="17"/>
    <n v="2"/>
    <n v="2"/>
    <n v="1"/>
    <n v="0"/>
    <n v="0"/>
    <n v="0"/>
    <s v="40-49"/>
  </r>
  <r>
    <n v="40"/>
    <x v="1"/>
    <s v="Travel_Rarely"/>
    <n v="1300"/>
    <x v="1"/>
    <n v="24"/>
    <n v="2"/>
    <s v="Technical Degree"/>
    <n v="335"/>
    <n v="1"/>
    <s v="Male"/>
    <n v="62"/>
    <n v="3"/>
    <n v="2"/>
    <x v="1"/>
    <n v="4"/>
    <s v="Divorced"/>
    <n v="3319"/>
    <n v="24447"/>
    <n v="1"/>
    <x v="1"/>
    <n v="17"/>
    <n v="3"/>
    <n v="1"/>
    <n v="2"/>
    <n v="9"/>
    <n v="3"/>
    <n v="3"/>
    <n v="9"/>
    <n v="8"/>
    <n v="4"/>
    <n v="7"/>
    <s v="40-49"/>
  </r>
  <r>
    <n v="45"/>
    <x v="1"/>
    <s v="Travel_Rarely"/>
    <n v="252"/>
    <x v="1"/>
    <n v="1"/>
    <n v="3"/>
    <s v="Other"/>
    <n v="336"/>
    <n v="3"/>
    <s v="Male"/>
    <n v="70"/>
    <n v="4"/>
    <n v="5"/>
    <x v="5"/>
    <n v="4"/>
    <s v="Married"/>
    <n v="19202"/>
    <n v="15970"/>
    <n v="0"/>
    <x v="1"/>
    <n v="11"/>
    <n v="3"/>
    <n v="3"/>
    <n v="1"/>
    <n v="25"/>
    <n v="2"/>
    <n v="3"/>
    <n v="24"/>
    <n v="0"/>
    <n v="1"/>
    <n v="7"/>
    <s v="40-49"/>
  </r>
  <r>
    <n v="31"/>
    <x v="1"/>
    <s v="Travel_Frequently"/>
    <n v="1327"/>
    <x v="1"/>
    <n v="3"/>
    <n v="4"/>
    <s v="Medical"/>
    <n v="337"/>
    <n v="2"/>
    <s v="Male"/>
    <n v="73"/>
    <n v="3"/>
    <n v="3"/>
    <x v="7"/>
    <n v="3"/>
    <s v="Divorced"/>
    <n v="13675"/>
    <n v="13523"/>
    <n v="9"/>
    <x v="1"/>
    <n v="12"/>
    <n v="3"/>
    <n v="1"/>
    <n v="1"/>
    <n v="9"/>
    <n v="3"/>
    <n v="3"/>
    <n v="2"/>
    <n v="2"/>
    <n v="2"/>
    <n v="2"/>
    <s v="30-39"/>
  </r>
  <r>
    <n v="33"/>
    <x v="1"/>
    <s v="Travel_Rarely"/>
    <n v="832"/>
    <x v="1"/>
    <n v="5"/>
    <n v="4"/>
    <s v="Life Sciences"/>
    <n v="338"/>
    <n v="3"/>
    <s v="Female"/>
    <n v="63"/>
    <n v="2"/>
    <n v="1"/>
    <x v="1"/>
    <n v="4"/>
    <s v="Married"/>
    <n v="2911"/>
    <n v="14776"/>
    <n v="1"/>
    <x v="1"/>
    <n v="13"/>
    <n v="3"/>
    <n v="3"/>
    <n v="1"/>
    <n v="2"/>
    <n v="2"/>
    <n v="2"/>
    <n v="2"/>
    <n v="2"/>
    <n v="0"/>
    <n v="2"/>
    <s v="30-39"/>
  </r>
  <r>
    <n v="34"/>
    <x v="1"/>
    <s v="Travel_Rarely"/>
    <n v="470"/>
    <x v="1"/>
    <n v="2"/>
    <n v="4"/>
    <s v="Life Sciences"/>
    <n v="339"/>
    <n v="4"/>
    <s v="Male"/>
    <n v="84"/>
    <n v="2"/>
    <n v="2"/>
    <x v="3"/>
    <n v="1"/>
    <s v="Married"/>
    <n v="5957"/>
    <n v="23687"/>
    <n v="6"/>
    <x v="1"/>
    <n v="13"/>
    <n v="3"/>
    <n v="2"/>
    <n v="1"/>
    <n v="13"/>
    <n v="3"/>
    <n v="3"/>
    <n v="11"/>
    <n v="9"/>
    <n v="5"/>
    <n v="9"/>
    <s v="30-39"/>
  </r>
  <r>
    <n v="37"/>
    <x v="1"/>
    <s v="Travel_Rarely"/>
    <n v="1017"/>
    <x v="1"/>
    <n v="1"/>
    <n v="2"/>
    <s v="Medical"/>
    <n v="340"/>
    <n v="3"/>
    <s v="Female"/>
    <n v="83"/>
    <n v="2"/>
    <n v="1"/>
    <x v="1"/>
    <n v="1"/>
    <s v="Married"/>
    <n v="3920"/>
    <n v="18697"/>
    <n v="2"/>
    <x v="1"/>
    <n v="14"/>
    <n v="3"/>
    <n v="1"/>
    <n v="1"/>
    <n v="17"/>
    <n v="2"/>
    <n v="2"/>
    <n v="3"/>
    <n v="1"/>
    <n v="0"/>
    <n v="2"/>
    <s v="30-39"/>
  </r>
  <r>
    <n v="45"/>
    <x v="1"/>
    <s v="Travel_Frequently"/>
    <n v="1199"/>
    <x v="1"/>
    <n v="7"/>
    <n v="4"/>
    <s v="Life Sciences"/>
    <n v="341"/>
    <n v="1"/>
    <s v="Male"/>
    <n v="77"/>
    <n v="4"/>
    <n v="2"/>
    <x v="3"/>
    <n v="3"/>
    <s v="Married"/>
    <n v="6434"/>
    <n v="5118"/>
    <n v="4"/>
    <x v="1"/>
    <n v="17"/>
    <n v="3"/>
    <n v="4"/>
    <n v="1"/>
    <n v="9"/>
    <n v="1"/>
    <n v="3"/>
    <n v="3"/>
    <n v="2"/>
    <n v="0"/>
    <n v="2"/>
    <s v="40-49"/>
  </r>
  <r>
    <n v="37"/>
    <x v="0"/>
    <s v="Travel_Frequently"/>
    <n v="504"/>
    <x v="1"/>
    <n v="10"/>
    <n v="3"/>
    <s v="Medical"/>
    <n v="342"/>
    <n v="1"/>
    <s v="Male"/>
    <n v="61"/>
    <n v="3"/>
    <n v="3"/>
    <x v="3"/>
    <n v="3"/>
    <s v="Divorced"/>
    <n v="10048"/>
    <n v="22573"/>
    <n v="6"/>
    <x v="1"/>
    <n v="11"/>
    <n v="3"/>
    <n v="2"/>
    <n v="2"/>
    <n v="17"/>
    <n v="5"/>
    <n v="3"/>
    <n v="1"/>
    <n v="0"/>
    <n v="0"/>
    <n v="0"/>
    <s v="30-39"/>
  </r>
  <r>
    <n v="39"/>
    <x v="1"/>
    <s v="Travel_Frequently"/>
    <n v="505"/>
    <x v="1"/>
    <n v="2"/>
    <n v="4"/>
    <s v="Technical Degree"/>
    <n v="343"/>
    <n v="3"/>
    <s v="Female"/>
    <n v="64"/>
    <n v="3"/>
    <n v="3"/>
    <x v="4"/>
    <n v="3"/>
    <s v="Single"/>
    <n v="10938"/>
    <n v="6420"/>
    <n v="0"/>
    <x v="1"/>
    <n v="25"/>
    <n v="4"/>
    <n v="4"/>
    <n v="0"/>
    <n v="20"/>
    <n v="1"/>
    <n v="3"/>
    <n v="19"/>
    <n v="6"/>
    <n v="11"/>
    <n v="8"/>
    <s v="30-39"/>
  </r>
  <r>
    <n v="29"/>
    <x v="1"/>
    <s v="Travel_Rarely"/>
    <n v="665"/>
    <x v="1"/>
    <n v="15"/>
    <n v="3"/>
    <s v="Life Sciences"/>
    <n v="346"/>
    <n v="3"/>
    <s v="Male"/>
    <n v="60"/>
    <n v="3"/>
    <n v="1"/>
    <x v="1"/>
    <n v="4"/>
    <s v="Single"/>
    <n v="2340"/>
    <n v="22673"/>
    <n v="1"/>
    <x v="1"/>
    <n v="19"/>
    <n v="3"/>
    <n v="1"/>
    <n v="0"/>
    <n v="6"/>
    <n v="1"/>
    <n v="3"/>
    <n v="6"/>
    <n v="5"/>
    <n v="1"/>
    <n v="5"/>
    <s v="Below 30"/>
  </r>
  <r>
    <n v="42"/>
    <x v="1"/>
    <s v="Travel_Rarely"/>
    <n v="916"/>
    <x v="1"/>
    <n v="17"/>
    <n v="2"/>
    <s v="Life Sciences"/>
    <n v="347"/>
    <n v="4"/>
    <s v="Female"/>
    <n v="82"/>
    <n v="4"/>
    <n v="2"/>
    <x v="1"/>
    <n v="1"/>
    <s v="Single"/>
    <n v="6545"/>
    <n v="23016"/>
    <n v="3"/>
    <x v="0"/>
    <n v="13"/>
    <n v="3"/>
    <n v="3"/>
    <n v="0"/>
    <n v="10"/>
    <n v="1"/>
    <n v="3"/>
    <n v="3"/>
    <n v="2"/>
    <n v="0"/>
    <n v="2"/>
    <s v="40-49"/>
  </r>
  <r>
    <n v="29"/>
    <x v="1"/>
    <s v="Travel_Rarely"/>
    <n v="1247"/>
    <x v="0"/>
    <n v="20"/>
    <n v="2"/>
    <s v="Marketing"/>
    <n v="349"/>
    <n v="4"/>
    <s v="Male"/>
    <n v="45"/>
    <n v="3"/>
    <n v="2"/>
    <x v="0"/>
    <n v="4"/>
    <s v="Divorced"/>
    <n v="6931"/>
    <n v="10732"/>
    <n v="2"/>
    <x v="1"/>
    <n v="14"/>
    <n v="3"/>
    <n v="4"/>
    <n v="1"/>
    <n v="10"/>
    <n v="2"/>
    <n v="3"/>
    <n v="3"/>
    <n v="2"/>
    <n v="0"/>
    <n v="2"/>
    <s v="Below 30"/>
  </r>
  <r>
    <n v="25"/>
    <x v="1"/>
    <s v="Travel_Rarely"/>
    <n v="685"/>
    <x v="1"/>
    <n v="1"/>
    <n v="3"/>
    <s v="Life Sciences"/>
    <n v="350"/>
    <n v="1"/>
    <s v="Female"/>
    <n v="62"/>
    <n v="3"/>
    <n v="2"/>
    <x v="3"/>
    <n v="3"/>
    <s v="Married"/>
    <n v="4898"/>
    <n v="7505"/>
    <n v="0"/>
    <x v="1"/>
    <n v="12"/>
    <n v="3"/>
    <n v="4"/>
    <n v="2"/>
    <n v="5"/>
    <n v="3"/>
    <n v="3"/>
    <n v="4"/>
    <n v="2"/>
    <n v="1"/>
    <n v="2"/>
    <s v="Below 30"/>
  </r>
  <r>
    <n v="42"/>
    <x v="1"/>
    <s v="Travel_Rarely"/>
    <n v="269"/>
    <x v="1"/>
    <n v="2"/>
    <n v="3"/>
    <s v="Medical"/>
    <n v="351"/>
    <n v="4"/>
    <s v="Female"/>
    <n v="56"/>
    <n v="2"/>
    <n v="1"/>
    <x v="2"/>
    <n v="1"/>
    <s v="Divorced"/>
    <n v="2593"/>
    <n v="8007"/>
    <n v="0"/>
    <x v="0"/>
    <n v="11"/>
    <n v="3"/>
    <n v="3"/>
    <n v="1"/>
    <n v="10"/>
    <n v="4"/>
    <n v="3"/>
    <n v="9"/>
    <n v="6"/>
    <n v="7"/>
    <n v="8"/>
    <s v="40-49"/>
  </r>
  <r>
    <n v="40"/>
    <x v="1"/>
    <s v="Travel_Rarely"/>
    <n v="1416"/>
    <x v="1"/>
    <n v="2"/>
    <n v="2"/>
    <s v="Medical"/>
    <n v="352"/>
    <n v="1"/>
    <s v="Male"/>
    <n v="49"/>
    <n v="3"/>
    <n v="5"/>
    <x v="7"/>
    <n v="3"/>
    <s v="Divorced"/>
    <n v="19436"/>
    <n v="5949"/>
    <n v="0"/>
    <x v="1"/>
    <n v="19"/>
    <n v="3"/>
    <n v="4"/>
    <n v="1"/>
    <n v="22"/>
    <n v="5"/>
    <n v="3"/>
    <n v="21"/>
    <n v="7"/>
    <n v="3"/>
    <n v="9"/>
    <s v="40-49"/>
  </r>
  <r>
    <n v="51"/>
    <x v="1"/>
    <s v="Travel_Rarely"/>
    <n v="833"/>
    <x v="1"/>
    <n v="1"/>
    <n v="3"/>
    <s v="Life Sciences"/>
    <n v="353"/>
    <n v="3"/>
    <s v="Male"/>
    <n v="96"/>
    <n v="3"/>
    <n v="1"/>
    <x v="1"/>
    <n v="4"/>
    <s v="Married"/>
    <n v="2723"/>
    <n v="23231"/>
    <n v="1"/>
    <x v="1"/>
    <n v="11"/>
    <n v="3"/>
    <n v="2"/>
    <n v="0"/>
    <n v="1"/>
    <n v="0"/>
    <n v="2"/>
    <n v="1"/>
    <n v="0"/>
    <n v="0"/>
    <n v="0"/>
    <s v="50+"/>
  </r>
  <r>
    <n v="31"/>
    <x v="0"/>
    <s v="Travel_Frequently"/>
    <n v="307"/>
    <x v="1"/>
    <n v="29"/>
    <n v="2"/>
    <s v="Medical"/>
    <n v="355"/>
    <n v="3"/>
    <s v="Male"/>
    <n v="71"/>
    <n v="2"/>
    <n v="1"/>
    <x v="2"/>
    <n v="2"/>
    <s v="Single"/>
    <n v="3479"/>
    <n v="11652"/>
    <n v="0"/>
    <x v="1"/>
    <n v="11"/>
    <n v="3"/>
    <n v="2"/>
    <n v="0"/>
    <n v="6"/>
    <n v="2"/>
    <n v="4"/>
    <n v="5"/>
    <n v="4"/>
    <n v="1"/>
    <n v="4"/>
    <s v="30-39"/>
  </r>
  <r>
    <n v="32"/>
    <x v="1"/>
    <s v="Travel_Frequently"/>
    <n v="1311"/>
    <x v="1"/>
    <n v="7"/>
    <n v="3"/>
    <s v="Life Sciences"/>
    <n v="359"/>
    <n v="2"/>
    <s v="Male"/>
    <n v="100"/>
    <n v="4"/>
    <n v="1"/>
    <x v="2"/>
    <n v="2"/>
    <s v="Married"/>
    <n v="2794"/>
    <n v="26062"/>
    <n v="1"/>
    <x v="1"/>
    <n v="20"/>
    <n v="4"/>
    <n v="3"/>
    <n v="0"/>
    <n v="5"/>
    <n v="3"/>
    <n v="1"/>
    <n v="5"/>
    <n v="1"/>
    <n v="0"/>
    <n v="3"/>
    <s v="30-39"/>
  </r>
  <r>
    <n v="38"/>
    <x v="1"/>
    <s v="Non-Travel"/>
    <n v="1327"/>
    <x v="0"/>
    <n v="2"/>
    <n v="2"/>
    <s v="Life Sciences"/>
    <n v="361"/>
    <n v="4"/>
    <s v="Male"/>
    <n v="39"/>
    <n v="2"/>
    <n v="2"/>
    <x v="0"/>
    <n v="4"/>
    <s v="Married"/>
    <n v="5249"/>
    <n v="19682"/>
    <n v="3"/>
    <x v="1"/>
    <n v="18"/>
    <n v="3"/>
    <n v="4"/>
    <n v="1"/>
    <n v="13"/>
    <n v="0"/>
    <n v="3"/>
    <n v="8"/>
    <n v="7"/>
    <n v="7"/>
    <n v="5"/>
    <s v="30-39"/>
  </r>
  <r>
    <n v="32"/>
    <x v="1"/>
    <s v="Travel_Rarely"/>
    <n v="128"/>
    <x v="1"/>
    <n v="2"/>
    <n v="1"/>
    <s v="Technical Degree"/>
    <n v="362"/>
    <n v="4"/>
    <s v="Male"/>
    <n v="84"/>
    <n v="2"/>
    <n v="2"/>
    <x v="2"/>
    <n v="1"/>
    <s v="Single"/>
    <n v="2176"/>
    <n v="19737"/>
    <n v="4"/>
    <x v="1"/>
    <n v="13"/>
    <n v="3"/>
    <n v="4"/>
    <n v="0"/>
    <n v="9"/>
    <n v="5"/>
    <n v="3"/>
    <n v="6"/>
    <n v="2"/>
    <n v="0"/>
    <n v="4"/>
    <s v="30-39"/>
  </r>
  <r>
    <n v="46"/>
    <x v="1"/>
    <s v="Travel_Rarely"/>
    <n v="488"/>
    <x v="0"/>
    <n v="2"/>
    <n v="3"/>
    <s v="Technical Degree"/>
    <n v="363"/>
    <n v="3"/>
    <s v="Female"/>
    <n v="75"/>
    <n v="1"/>
    <n v="4"/>
    <x v="5"/>
    <n v="2"/>
    <s v="Married"/>
    <n v="16872"/>
    <n v="14977"/>
    <n v="3"/>
    <x v="0"/>
    <n v="12"/>
    <n v="3"/>
    <n v="2"/>
    <n v="1"/>
    <n v="28"/>
    <n v="2"/>
    <n v="2"/>
    <n v="7"/>
    <n v="7"/>
    <n v="7"/>
    <n v="7"/>
    <s v="40-49"/>
  </r>
  <r>
    <n v="28"/>
    <x v="0"/>
    <s v="Travel_Rarely"/>
    <n v="529"/>
    <x v="1"/>
    <n v="2"/>
    <n v="4"/>
    <s v="Life Sciences"/>
    <n v="364"/>
    <n v="1"/>
    <s v="Male"/>
    <n v="79"/>
    <n v="3"/>
    <n v="1"/>
    <x v="2"/>
    <n v="3"/>
    <s v="Single"/>
    <n v="3485"/>
    <n v="14935"/>
    <n v="2"/>
    <x v="1"/>
    <n v="11"/>
    <n v="3"/>
    <n v="3"/>
    <n v="0"/>
    <n v="5"/>
    <n v="5"/>
    <n v="1"/>
    <n v="0"/>
    <n v="0"/>
    <n v="0"/>
    <n v="0"/>
    <s v="Below 30"/>
  </r>
  <r>
    <n v="29"/>
    <x v="1"/>
    <s v="Travel_Rarely"/>
    <n v="1210"/>
    <x v="0"/>
    <n v="2"/>
    <n v="3"/>
    <s v="Medical"/>
    <n v="366"/>
    <n v="1"/>
    <s v="Male"/>
    <n v="78"/>
    <n v="2"/>
    <n v="2"/>
    <x v="0"/>
    <n v="2"/>
    <s v="Married"/>
    <n v="6644"/>
    <n v="3687"/>
    <n v="2"/>
    <x v="1"/>
    <n v="19"/>
    <n v="3"/>
    <n v="2"/>
    <n v="2"/>
    <n v="10"/>
    <n v="2"/>
    <n v="3"/>
    <n v="0"/>
    <n v="0"/>
    <n v="0"/>
    <n v="0"/>
    <s v="Below 30"/>
  </r>
  <r>
    <n v="31"/>
    <x v="1"/>
    <s v="Travel_Rarely"/>
    <n v="1463"/>
    <x v="1"/>
    <n v="23"/>
    <n v="3"/>
    <s v="Medical"/>
    <n v="367"/>
    <n v="2"/>
    <s v="Male"/>
    <n v="64"/>
    <n v="2"/>
    <n v="2"/>
    <x v="4"/>
    <n v="4"/>
    <s v="Married"/>
    <n v="5582"/>
    <n v="14408"/>
    <n v="0"/>
    <x v="1"/>
    <n v="21"/>
    <n v="4"/>
    <n v="2"/>
    <n v="1"/>
    <n v="10"/>
    <n v="2"/>
    <n v="3"/>
    <n v="9"/>
    <n v="0"/>
    <n v="7"/>
    <n v="8"/>
    <s v="30-39"/>
  </r>
  <r>
    <n v="25"/>
    <x v="1"/>
    <s v="Non-Travel"/>
    <n v="675"/>
    <x v="1"/>
    <n v="5"/>
    <n v="2"/>
    <s v="Life Sciences"/>
    <n v="369"/>
    <n v="2"/>
    <s v="Male"/>
    <n v="85"/>
    <n v="4"/>
    <n v="2"/>
    <x v="4"/>
    <n v="1"/>
    <s v="Divorced"/>
    <n v="4000"/>
    <n v="18384"/>
    <n v="1"/>
    <x v="1"/>
    <n v="12"/>
    <n v="3"/>
    <n v="4"/>
    <n v="2"/>
    <n v="6"/>
    <n v="2"/>
    <n v="3"/>
    <n v="6"/>
    <n v="3"/>
    <n v="1"/>
    <n v="5"/>
    <s v="Below 30"/>
  </r>
  <r>
    <n v="45"/>
    <x v="1"/>
    <s v="Travel_Rarely"/>
    <n v="1385"/>
    <x v="1"/>
    <n v="20"/>
    <n v="2"/>
    <s v="Medical"/>
    <n v="372"/>
    <n v="3"/>
    <s v="Male"/>
    <n v="79"/>
    <n v="3"/>
    <n v="4"/>
    <x v="4"/>
    <n v="4"/>
    <s v="Married"/>
    <n v="13496"/>
    <n v="7501"/>
    <n v="0"/>
    <x v="0"/>
    <n v="14"/>
    <n v="3"/>
    <n v="2"/>
    <n v="0"/>
    <n v="21"/>
    <n v="2"/>
    <n v="3"/>
    <n v="20"/>
    <n v="7"/>
    <n v="4"/>
    <n v="10"/>
    <s v="40-49"/>
  </r>
  <r>
    <n v="36"/>
    <x v="1"/>
    <s v="Travel_Rarely"/>
    <n v="1403"/>
    <x v="1"/>
    <n v="6"/>
    <n v="3"/>
    <s v="Life Sciences"/>
    <n v="373"/>
    <n v="4"/>
    <s v="Male"/>
    <n v="47"/>
    <n v="3"/>
    <n v="1"/>
    <x v="2"/>
    <n v="4"/>
    <s v="Married"/>
    <n v="3210"/>
    <n v="20251"/>
    <n v="0"/>
    <x v="1"/>
    <n v="11"/>
    <n v="3"/>
    <n v="3"/>
    <n v="1"/>
    <n v="16"/>
    <n v="4"/>
    <n v="3"/>
    <n v="15"/>
    <n v="13"/>
    <n v="10"/>
    <n v="11"/>
    <s v="30-39"/>
  </r>
  <r>
    <n v="55"/>
    <x v="1"/>
    <s v="Travel_Rarely"/>
    <n v="452"/>
    <x v="1"/>
    <n v="1"/>
    <n v="3"/>
    <s v="Medical"/>
    <n v="374"/>
    <n v="4"/>
    <s v="Male"/>
    <n v="81"/>
    <n v="3"/>
    <n v="5"/>
    <x v="5"/>
    <n v="1"/>
    <s v="Single"/>
    <n v="19045"/>
    <n v="18938"/>
    <n v="0"/>
    <x v="0"/>
    <n v="14"/>
    <n v="3"/>
    <n v="3"/>
    <n v="0"/>
    <n v="37"/>
    <n v="2"/>
    <n v="3"/>
    <n v="36"/>
    <n v="10"/>
    <n v="4"/>
    <n v="13"/>
    <s v="50+"/>
  </r>
  <r>
    <n v="47"/>
    <x v="0"/>
    <s v="Non-Travel"/>
    <n v="666"/>
    <x v="1"/>
    <n v="29"/>
    <n v="4"/>
    <s v="Life Sciences"/>
    <n v="376"/>
    <n v="1"/>
    <s v="Male"/>
    <n v="88"/>
    <n v="3"/>
    <n v="3"/>
    <x v="5"/>
    <n v="2"/>
    <s v="Married"/>
    <n v="11849"/>
    <n v="10268"/>
    <n v="1"/>
    <x v="0"/>
    <n v="12"/>
    <n v="3"/>
    <n v="4"/>
    <n v="1"/>
    <n v="10"/>
    <n v="2"/>
    <n v="2"/>
    <n v="10"/>
    <n v="7"/>
    <n v="9"/>
    <n v="9"/>
    <s v="40-49"/>
  </r>
  <r>
    <n v="28"/>
    <x v="1"/>
    <s v="Travel_Rarely"/>
    <n v="1158"/>
    <x v="1"/>
    <n v="9"/>
    <n v="3"/>
    <s v="Medical"/>
    <n v="377"/>
    <n v="4"/>
    <s v="Male"/>
    <n v="94"/>
    <n v="3"/>
    <n v="1"/>
    <x v="1"/>
    <n v="4"/>
    <s v="Married"/>
    <n v="2070"/>
    <n v="2613"/>
    <n v="1"/>
    <x v="1"/>
    <n v="23"/>
    <n v="4"/>
    <n v="4"/>
    <n v="1"/>
    <n v="5"/>
    <n v="3"/>
    <n v="2"/>
    <n v="5"/>
    <n v="2"/>
    <n v="0"/>
    <n v="4"/>
    <s v="Below 30"/>
  </r>
  <r>
    <n v="37"/>
    <x v="1"/>
    <s v="Travel_Rarely"/>
    <n v="228"/>
    <x v="0"/>
    <n v="6"/>
    <n v="4"/>
    <s v="Medical"/>
    <n v="378"/>
    <n v="3"/>
    <s v="Male"/>
    <n v="98"/>
    <n v="3"/>
    <n v="2"/>
    <x v="0"/>
    <n v="4"/>
    <s v="Married"/>
    <n v="6502"/>
    <n v="22825"/>
    <n v="4"/>
    <x v="1"/>
    <n v="14"/>
    <n v="3"/>
    <n v="2"/>
    <n v="1"/>
    <n v="7"/>
    <n v="5"/>
    <n v="4"/>
    <n v="5"/>
    <n v="4"/>
    <n v="0"/>
    <n v="1"/>
    <s v="30-39"/>
  </r>
  <r>
    <n v="21"/>
    <x v="1"/>
    <s v="Travel_Rarely"/>
    <n v="996"/>
    <x v="1"/>
    <n v="3"/>
    <n v="2"/>
    <s v="Medical"/>
    <n v="379"/>
    <n v="4"/>
    <s v="Male"/>
    <n v="100"/>
    <n v="2"/>
    <n v="1"/>
    <x v="1"/>
    <n v="3"/>
    <s v="Single"/>
    <n v="3230"/>
    <n v="10531"/>
    <n v="1"/>
    <x v="1"/>
    <n v="17"/>
    <n v="3"/>
    <n v="1"/>
    <n v="0"/>
    <n v="3"/>
    <n v="4"/>
    <n v="4"/>
    <n v="3"/>
    <n v="2"/>
    <n v="1"/>
    <n v="0"/>
    <s v="Below 30"/>
  </r>
  <r>
    <n v="37"/>
    <x v="1"/>
    <s v="Non-Travel"/>
    <n v="728"/>
    <x v="1"/>
    <n v="1"/>
    <n v="4"/>
    <s v="Medical"/>
    <n v="380"/>
    <n v="1"/>
    <s v="Female"/>
    <n v="80"/>
    <n v="3"/>
    <n v="3"/>
    <x v="7"/>
    <n v="4"/>
    <s v="Divorced"/>
    <n v="13603"/>
    <n v="11677"/>
    <n v="2"/>
    <x v="0"/>
    <n v="18"/>
    <n v="3"/>
    <n v="1"/>
    <n v="2"/>
    <n v="15"/>
    <n v="2"/>
    <n v="3"/>
    <n v="5"/>
    <n v="2"/>
    <n v="0"/>
    <n v="2"/>
    <s v="30-39"/>
  </r>
  <r>
    <n v="35"/>
    <x v="1"/>
    <s v="Travel_Rarely"/>
    <n v="1315"/>
    <x v="1"/>
    <n v="22"/>
    <n v="3"/>
    <s v="Life Sciences"/>
    <n v="381"/>
    <n v="2"/>
    <s v="Female"/>
    <n v="71"/>
    <n v="4"/>
    <n v="3"/>
    <x v="5"/>
    <n v="2"/>
    <s v="Divorced"/>
    <n v="11996"/>
    <n v="19100"/>
    <n v="7"/>
    <x v="1"/>
    <n v="18"/>
    <n v="3"/>
    <n v="2"/>
    <n v="1"/>
    <n v="10"/>
    <n v="6"/>
    <n v="2"/>
    <n v="7"/>
    <n v="7"/>
    <n v="6"/>
    <n v="2"/>
    <s v="30-39"/>
  </r>
  <r>
    <n v="38"/>
    <x v="1"/>
    <s v="Travel_Rarely"/>
    <n v="322"/>
    <x v="0"/>
    <n v="7"/>
    <n v="2"/>
    <s v="Medical"/>
    <n v="382"/>
    <n v="1"/>
    <s v="Female"/>
    <n v="44"/>
    <n v="4"/>
    <n v="2"/>
    <x v="0"/>
    <n v="1"/>
    <s v="Divorced"/>
    <n v="5605"/>
    <n v="19191"/>
    <n v="1"/>
    <x v="0"/>
    <n v="24"/>
    <n v="4"/>
    <n v="3"/>
    <n v="1"/>
    <n v="8"/>
    <n v="3"/>
    <n v="3"/>
    <n v="8"/>
    <n v="0"/>
    <n v="7"/>
    <n v="7"/>
    <s v="30-39"/>
  </r>
  <r>
    <n v="26"/>
    <x v="1"/>
    <s v="Travel_Frequently"/>
    <n v="1479"/>
    <x v="1"/>
    <n v="1"/>
    <n v="3"/>
    <s v="Life Sciences"/>
    <n v="384"/>
    <n v="3"/>
    <s v="Female"/>
    <n v="84"/>
    <n v="3"/>
    <n v="2"/>
    <x v="3"/>
    <n v="2"/>
    <s v="Divorced"/>
    <n v="6397"/>
    <n v="26767"/>
    <n v="1"/>
    <x v="1"/>
    <n v="20"/>
    <n v="4"/>
    <n v="1"/>
    <n v="1"/>
    <n v="6"/>
    <n v="6"/>
    <n v="1"/>
    <n v="6"/>
    <n v="5"/>
    <n v="1"/>
    <n v="4"/>
    <s v="Below 30"/>
  </r>
  <r>
    <n v="50"/>
    <x v="1"/>
    <s v="Travel_Rarely"/>
    <n v="797"/>
    <x v="1"/>
    <n v="4"/>
    <n v="1"/>
    <s v="Life Sciences"/>
    <n v="385"/>
    <n v="1"/>
    <s v="Male"/>
    <n v="96"/>
    <n v="3"/>
    <n v="5"/>
    <x v="7"/>
    <n v="2"/>
    <s v="Divorced"/>
    <n v="19144"/>
    <n v="15815"/>
    <n v="3"/>
    <x v="1"/>
    <n v="14"/>
    <n v="3"/>
    <n v="1"/>
    <n v="2"/>
    <n v="28"/>
    <n v="4"/>
    <n v="2"/>
    <n v="10"/>
    <n v="4"/>
    <n v="1"/>
    <n v="6"/>
    <s v="50+"/>
  </r>
  <r>
    <n v="53"/>
    <x v="1"/>
    <s v="Travel_Rarely"/>
    <n v="1070"/>
    <x v="1"/>
    <n v="3"/>
    <n v="4"/>
    <s v="Medical"/>
    <n v="386"/>
    <n v="3"/>
    <s v="Male"/>
    <n v="45"/>
    <n v="3"/>
    <n v="4"/>
    <x v="7"/>
    <n v="3"/>
    <s v="Married"/>
    <n v="17584"/>
    <n v="21016"/>
    <n v="3"/>
    <x v="0"/>
    <n v="16"/>
    <n v="3"/>
    <n v="4"/>
    <n v="3"/>
    <n v="21"/>
    <n v="5"/>
    <n v="2"/>
    <n v="5"/>
    <n v="3"/>
    <n v="1"/>
    <n v="3"/>
    <s v="50+"/>
  </r>
  <r>
    <n v="42"/>
    <x v="1"/>
    <s v="Travel_Rarely"/>
    <n v="635"/>
    <x v="0"/>
    <n v="1"/>
    <n v="1"/>
    <s v="Life Sciences"/>
    <n v="387"/>
    <n v="2"/>
    <s v="Male"/>
    <n v="99"/>
    <n v="3"/>
    <n v="2"/>
    <x v="0"/>
    <n v="3"/>
    <s v="Married"/>
    <n v="4907"/>
    <n v="24532"/>
    <n v="1"/>
    <x v="1"/>
    <n v="25"/>
    <n v="4"/>
    <n v="3"/>
    <n v="0"/>
    <n v="20"/>
    <n v="3"/>
    <n v="3"/>
    <n v="20"/>
    <n v="16"/>
    <n v="11"/>
    <n v="6"/>
    <s v="40-49"/>
  </r>
  <r>
    <n v="29"/>
    <x v="1"/>
    <s v="Travel_Frequently"/>
    <n v="442"/>
    <x v="0"/>
    <n v="2"/>
    <n v="2"/>
    <s v="Life Sciences"/>
    <n v="388"/>
    <n v="2"/>
    <s v="Male"/>
    <n v="44"/>
    <n v="3"/>
    <n v="2"/>
    <x v="0"/>
    <n v="4"/>
    <s v="Single"/>
    <n v="4554"/>
    <n v="20260"/>
    <n v="1"/>
    <x v="1"/>
    <n v="18"/>
    <n v="3"/>
    <n v="1"/>
    <n v="0"/>
    <n v="10"/>
    <n v="3"/>
    <n v="2"/>
    <n v="10"/>
    <n v="7"/>
    <n v="0"/>
    <n v="9"/>
    <s v="Below 30"/>
  </r>
  <r>
    <n v="55"/>
    <x v="1"/>
    <s v="Travel_Rarely"/>
    <n v="147"/>
    <x v="1"/>
    <n v="20"/>
    <n v="2"/>
    <s v="Technical Degree"/>
    <n v="389"/>
    <n v="2"/>
    <s v="Male"/>
    <n v="37"/>
    <n v="3"/>
    <n v="2"/>
    <x v="2"/>
    <n v="4"/>
    <s v="Married"/>
    <n v="5415"/>
    <n v="15972"/>
    <n v="3"/>
    <x v="0"/>
    <n v="19"/>
    <n v="3"/>
    <n v="4"/>
    <n v="1"/>
    <n v="12"/>
    <n v="4"/>
    <n v="3"/>
    <n v="10"/>
    <n v="7"/>
    <n v="0"/>
    <n v="8"/>
    <s v="50+"/>
  </r>
  <r>
    <n v="26"/>
    <x v="1"/>
    <s v="Travel_Frequently"/>
    <n v="496"/>
    <x v="1"/>
    <n v="11"/>
    <n v="2"/>
    <s v="Medical"/>
    <n v="390"/>
    <n v="1"/>
    <s v="Male"/>
    <n v="60"/>
    <n v="3"/>
    <n v="2"/>
    <x v="4"/>
    <n v="1"/>
    <s v="Married"/>
    <n v="4741"/>
    <n v="22722"/>
    <n v="1"/>
    <x v="0"/>
    <n v="13"/>
    <n v="3"/>
    <n v="3"/>
    <n v="1"/>
    <n v="5"/>
    <n v="3"/>
    <n v="3"/>
    <n v="5"/>
    <n v="3"/>
    <n v="3"/>
    <n v="3"/>
    <s v="Below 30"/>
  </r>
  <r>
    <n v="37"/>
    <x v="1"/>
    <s v="Travel_Rarely"/>
    <n v="1372"/>
    <x v="1"/>
    <n v="1"/>
    <n v="3"/>
    <s v="Life Sciences"/>
    <n v="391"/>
    <n v="4"/>
    <s v="Female"/>
    <n v="42"/>
    <n v="3"/>
    <n v="1"/>
    <x v="1"/>
    <n v="4"/>
    <s v="Single"/>
    <n v="2115"/>
    <n v="15881"/>
    <n v="1"/>
    <x v="1"/>
    <n v="12"/>
    <n v="3"/>
    <n v="2"/>
    <n v="0"/>
    <n v="17"/>
    <n v="3"/>
    <n v="3"/>
    <n v="17"/>
    <n v="12"/>
    <n v="5"/>
    <n v="7"/>
    <s v="30-39"/>
  </r>
  <r>
    <n v="44"/>
    <x v="0"/>
    <s v="Travel_Frequently"/>
    <n v="920"/>
    <x v="1"/>
    <n v="24"/>
    <n v="3"/>
    <s v="Life Sciences"/>
    <n v="392"/>
    <n v="4"/>
    <s v="Male"/>
    <n v="43"/>
    <n v="3"/>
    <n v="1"/>
    <x v="2"/>
    <n v="3"/>
    <s v="Divorced"/>
    <n v="3161"/>
    <n v="19920"/>
    <n v="3"/>
    <x v="0"/>
    <n v="22"/>
    <n v="4"/>
    <n v="4"/>
    <n v="1"/>
    <n v="19"/>
    <n v="0"/>
    <n v="1"/>
    <n v="1"/>
    <n v="0"/>
    <n v="0"/>
    <n v="0"/>
    <s v="40-49"/>
  </r>
  <r>
    <n v="38"/>
    <x v="1"/>
    <s v="Travel_Rarely"/>
    <n v="688"/>
    <x v="1"/>
    <n v="23"/>
    <n v="4"/>
    <s v="Life Sciences"/>
    <n v="393"/>
    <n v="4"/>
    <s v="Male"/>
    <n v="82"/>
    <n v="3"/>
    <n v="2"/>
    <x v="4"/>
    <n v="4"/>
    <s v="Divorced"/>
    <n v="5745"/>
    <n v="18899"/>
    <n v="9"/>
    <x v="1"/>
    <n v="14"/>
    <n v="3"/>
    <n v="2"/>
    <n v="1"/>
    <n v="10"/>
    <n v="2"/>
    <n v="3"/>
    <n v="2"/>
    <n v="2"/>
    <n v="1"/>
    <n v="2"/>
    <s v="30-39"/>
  </r>
  <r>
    <n v="26"/>
    <x v="0"/>
    <s v="Travel_Rarely"/>
    <n v="1449"/>
    <x v="1"/>
    <n v="16"/>
    <n v="4"/>
    <s v="Medical"/>
    <n v="394"/>
    <n v="1"/>
    <s v="Male"/>
    <n v="45"/>
    <n v="3"/>
    <n v="1"/>
    <x v="2"/>
    <n v="2"/>
    <s v="Divorced"/>
    <n v="2373"/>
    <n v="14180"/>
    <n v="2"/>
    <x v="0"/>
    <n v="13"/>
    <n v="3"/>
    <n v="4"/>
    <n v="1"/>
    <n v="5"/>
    <n v="2"/>
    <n v="3"/>
    <n v="3"/>
    <n v="2"/>
    <n v="0"/>
    <n v="2"/>
    <s v="Below 30"/>
  </r>
  <r>
    <n v="28"/>
    <x v="1"/>
    <s v="Travel_Rarely"/>
    <n v="1117"/>
    <x v="1"/>
    <n v="8"/>
    <n v="2"/>
    <s v="Life Sciences"/>
    <n v="395"/>
    <n v="4"/>
    <s v="Female"/>
    <n v="66"/>
    <n v="3"/>
    <n v="1"/>
    <x v="1"/>
    <n v="4"/>
    <s v="Single"/>
    <n v="3310"/>
    <n v="4488"/>
    <n v="1"/>
    <x v="1"/>
    <n v="21"/>
    <n v="4"/>
    <n v="4"/>
    <n v="0"/>
    <n v="5"/>
    <n v="3"/>
    <n v="3"/>
    <n v="5"/>
    <n v="3"/>
    <n v="0"/>
    <n v="2"/>
    <s v="Below 30"/>
  </r>
  <r>
    <n v="49"/>
    <x v="1"/>
    <s v="Travel_Frequently"/>
    <n v="636"/>
    <x v="1"/>
    <n v="10"/>
    <n v="4"/>
    <s v="Life Sciences"/>
    <n v="396"/>
    <n v="3"/>
    <s v="Female"/>
    <n v="35"/>
    <n v="3"/>
    <n v="5"/>
    <x v="7"/>
    <n v="1"/>
    <s v="Single"/>
    <n v="18665"/>
    <n v="25594"/>
    <n v="9"/>
    <x v="0"/>
    <n v="11"/>
    <n v="3"/>
    <n v="4"/>
    <n v="0"/>
    <n v="22"/>
    <n v="4"/>
    <n v="3"/>
    <n v="3"/>
    <n v="2"/>
    <n v="1"/>
    <n v="2"/>
    <s v="40-49"/>
  </r>
  <r>
    <n v="36"/>
    <x v="1"/>
    <s v="Travel_Rarely"/>
    <n v="506"/>
    <x v="1"/>
    <n v="3"/>
    <n v="3"/>
    <s v="Technical Degree"/>
    <n v="397"/>
    <n v="3"/>
    <s v="Male"/>
    <n v="30"/>
    <n v="3"/>
    <n v="2"/>
    <x v="1"/>
    <n v="2"/>
    <s v="Single"/>
    <n v="4485"/>
    <n v="26285"/>
    <n v="4"/>
    <x v="1"/>
    <n v="12"/>
    <n v="3"/>
    <n v="4"/>
    <n v="0"/>
    <n v="10"/>
    <n v="2"/>
    <n v="3"/>
    <n v="8"/>
    <n v="0"/>
    <n v="7"/>
    <n v="7"/>
    <s v="30-39"/>
  </r>
  <r>
    <n v="31"/>
    <x v="1"/>
    <s v="Travel_Frequently"/>
    <n v="444"/>
    <x v="0"/>
    <n v="5"/>
    <n v="3"/>
    <s v="Marketing"/>
    <n v="399"/>
    <n v="4"/>
    <s v="Female"/>
    <n v="84"/>
    <n v="3"/>
    <n v="1"/>
    <x v="6"/>
    <n v="2"/>
    <s v="Divorced"/>
    <n v="2789"/>
    <n v="3909"/>
    <n v="1"/>
    <x v="1"/>
    <n v="11"/>
    <n v="3"/>
    <n v="3"/>
    <n v="1"/>
    <n v="2"/>
    <n v="5"/>
    <n v="2"/>
    <n v="2"/>
    <n v="2"/>
    <n v="2"/>
    <n v="2"/>
    <s v="30-39"/>
  </r>
  <r>
    <n v="26"/>
    <x v="0"/>
    <s v="Travel_Rarely"/>
    <n v="950"/>
    <x v="0"/>
    <n v="4"/>
    <n v="4"/>
    <s v="Marketing"/>
    <n v="401"/>
    <n v="4"/>
    <s v="Male"/>
    <n v="48"/>
    <n v="2"/>
    <n v="2"/>
    <x v="0"/>
    <n v="4"/>
    <s v="Single"/>
    <n v="5828"/>
    <n v="8450"/>
    <n v="1"/>
    <x v="0"/>
    <n v="12"/>
    <n v="3"/>
    <n v="2"/>
    <n v="0"/>
    <n v="8"/>
    <n v="0"/>
    <n v="3"/>
    <n v="8"/>
    <n v="7"/>
    <n v="7"/>
    <n v="4"/>
    <s v="Below 30"/>
  </r>
  <r>
    <n v="37"/>
    <x v="1"/>
    <s v="Travel_Frequently"/>
    <n v="889"/>
    <x v="1"/>
    <n v="9"/>
    <n v="3"/>
    <s v="Medical"/>
    <n v="403"/>
    <n v="2"/>
    <s v="Male"/>
    <n v="53"/>
    <n v="3"/>
    <n v="1"/>
    <x v="1"/>
    <n v="4"/>
    <s v="Married"/>
    <n v="2326"/>
    <n v="11411"/>
    <n v="1"/>
    <x v="0"/>
    <n v="12"/>
    <n v="3"/>
    <n v="3"/>
    <n v="3"/>
    <n v="4"/>
    <n v="3"/>
    <n v="2"/>
    <n v="4"/>
    <n v="2"/>
    <n v="1"/>
    <n v="2"/>
    <s v="30-39"/>
  </r>
  <r>
    <n v="42"/>
    <x v="1"/>
    <s v="Travel_Frequently"/>
    <n v="555"/>
    <x v="0"/>
    <n v="26"/>
    <n v="3"/>
    <s v="Marketing"/>
    <n v="404"/>
    <n v="3"/>
    <s v="Female"/>
    <n v="77"/>
    <n v="3"/>
    <n v="4"/>
    <x v="0"/>
    <n v="2"/>
    <s v="Married"/>
    <n v="13525"/>
    <n v="14864"/>
    <n v="5"/>
    <x v="1"/>
    <n v="14"/>
    <n v="3"/>
    <n v="4"/>
    <n v="1"/>
    <n v="23"/>
    <n v="2"/>
    <n v="4"/>
    <n v="20"/>
    <n v="4"/>
    <n v="4"/>
    <n v="8"/>
    <s v="40-49"/>
  </r>
  <r>
    <n v="18"/>
    <x v="0"/>
    <s v="Travel_Rarely"/>
    <n v="230"/>
    <x v="1"/>
    <n v="3"/>
    <n v="3"/>
    <s v="Life Sciences"/>
    <n v="405"/>
    <n v="3"/>
    <s v="Male"/>
    <n v="54"/>
    <n v="3"/>
    <n v="1"/>
    <x v="2"/>
    <n v="3"/>
    <s v="Single"/>
    <n v="1420"/>
    <n v="25233"/>
    <n v="1"/>
    <x v="1"/>
    <n v="13"/>
    <n v="3"/>
    <n v="3"/>
    <n v="0"/>
    <n v="0"/>
    <n v="2"/>
    <n v="3"/>
    <n v="0"/>
    <n v="0"/>
    <n v="0"/>
    <n v="0"/>
    <s v="Below 30"/>
  </r>
  <r>
    <n v="35"/>
    <x v="1"/>
    <s v="Travel_Rarely"/>
    <n v="1232"/>
    <x v="0"/>
    <n v="16"/>
    <n v="3"/>
    <s v="Marketing"/>
    <n v="406"/>
    <n v="3"/>
    <s v="Male"/>
    <n v="96"/>
    <n v="3"/>
    <n v="3"/>
    <x v="0"/>
    <n v="2"/>
    <s v="Married"/>
    <n v="8020"/>
    <n v="5100"/>
    <n v="0"/>
    <x v="1"/>
    <n v="15"/>
    <n v="3"/>
    <n v="3"/>
    <n v="2"/>
    <n v="12"/>
    <n v="3"/>
    <n v="2"/>
    <n v="11"/>
    <n v="9"/>
    <n v="6"/>
    <n v="9"/>
    <s v="30-39"/>
  </r>
  <r>
    <n v="36"/>
    <x v="1"/>
    <s v="Travel_Frequently"/>
    <n v="566"/>
    <x v="1"/>
    <n v="18"/>
    <n v="4"/>
    <s v="Life Sciences"/>
    <n v="407"/>
    <n v="3"/>
    <s v="Male"/>
    <n v="81"/>
    <n v="4"/>
    <n v="1"/>
    <x v="2"/>
    <n v="4"/>
    <s v="Married"/>
    <n v="3688"/>
    <n v="7122"/>
    <n v="4"/>
    <x v="1"/>
    <n v="18"/>
    <n v="3"/>
    <n v="4"/>
    <n v="2"/>
    <n v="4"/>
    <n v="2"/>
    <n v="3"/>
    <n v="1"/>
    <n v="0"/>
    <n v="0"/>
    <n v="0"/>
    <s v="30-39"/>
  </r>
  <r>
    <n v="51"/>
    <x v="1"/>
    <s v="Travel_Rarely"/>
    <n v="1302"/>
    <x v="1"/>
    <n v="2"/>
    <n v="3"/>
    <s v="Medical"/>
    <n v="408"/>
    <n v="4"/>
    <s v="Male"/>
    <n v="84"/>
    <n v="1"/>
    <n v="2"/>
    <x v="3"/>
    <n v="2"/>
    <s v="Divorced"/>
    <n v="5482"/>
    <n v="16321"/>
    <n v="5"/>
    <x v="1"/>
    <n v="18"/>
    <n v="3"/>
    <n v="4"/>
    <n v="1"/>
    <n v="13"/>
    <n v="3"/>
    <n v="3"/>
    <n v="4"/>
    <n v="1"/>
    <n v="1"/>
    <n v="2"/>
    <s v="50+"/>
  </r>
  <r>
    <n v="41"/>
    <x v="1"/>
    <s v="Travel_Rarely"/>
    <n v="334"/>
    <x v="0"/>
    <n v="2"/>
    <n v="4"/>
    <s v="Life Sciences"/>
    <n v="410"/>
    <n v="4"/>
    <s v="Male"/>
    <n v="88"/>
    <n v="3"/>
    <n v="4"/>
    <x v="5"/>
    <n v="2"/>
    <s v="Single"/>
    <n v="16015"/>
    <n v="15896"/>
    <n v="1"/>
    <x v="1"/>
    <n v="19"/>
    <n v="3"/>
    <n v="2"/>
    <n v="0"/>
    <n v="22"/>
    <n v="2"/>
    <n v="3"/>
    <n v="22"/>
    <n v="10"/>
    <n v="0"/>
    <n v="4"/>
    <s v="40-49"/>
  </r>
  <r>
    <n v="18"/>
    <x v="1"/>
    <s v="Travel_Rarely"/>
    <n v="812"/>
    <x v="0"/>
    <n v="10"/>
    <n v="3"/>
    <s v="Medical"/>
    <n v="411"/>
    <n v="4"/>
    <s v="Female"/>
    <n v="69"/>
    <n v="2"/>
    <n v="1"/>
    <x v="6"/>
    <n v="3"/>
    <s v="Single"/>
    <n v="1200"/>
    <n v="9724"/>
    <n v="1"/>
    <x v="1"/>
    <n v="12"/>
    <n v="3"/>
    <n v="1"/>
    <n v="0"/>
    <n v="0"/>
    <n v="2"/>
    <n v="3"/>
    <n v="0"/>
    <n v="0"/>
    <n v="0"/>
    <n v="0"/>
    <s v="Below 30"/>
  </r>
  <r>
    <n v="28"/>
    <x v="1"/>
    <s v="Travel_Rarely"/>
    <n v="1476"/>
    <x v="1"/>
    <n v="16"/>
    <n v="2"/>
    <s v="Medical"/>
    <n v="412"/>
    <n v="2"/>
    <s v="Male"/>
    <n v="68"/>
    <n v="4"/>
    <n v="2"/>
    <x v="4"/>
    <n v="1"/>
    <s v="Single"/>
    <n v="5661"/>
    <n v="4824"/>
    <n v="0"/>
    <x v="1"/>
    <n v="19"/>
    <n v="3"/>
    <n v="3"/>
    <n v="0"/>
    <n v="9"/>
    <n v="2"/>
    <n v="3"/>
    <n v="8"/>
    <n v="3"/>
    <n v="0"/>
    <n v="7"/>
    <s v="Below 30"/>
  </r>
  <r>
    <n v="31"/>
    <x v="1"/>
    <s v="Travel_Rarely"/>
    <n v="218"/>
    <x v="0"/>
    <n v="7"/>
    <n v="3"/>
    <s v="Technical Degree"/>
    <n v="416"/>
    <n v="2"/>
    <s v="Male"/>
    <n v="100"/>
    <n v="4"/>
    <n v="2"/>
    <x v="0"/>
    <n v="4"/>
    <s v="Married"/>
    <n v="6929"/>
    <n v="12241"/>
    <n v="4"/>
    <x v="1"/>
    <n v="11"/>
    <n v="3"/>
    <n v="2"/>
    <n v="1"/>
    <n v="10"/>
    <n v="3"/>
    <n v="2"/>
    <n v="8"/>
    <n v="7"/>
    <n v="7"/>
    <n v="7"/>
    <s v="30-39"/>
  </r>
  <r>
    <n v="39"/>
    <x v="1"/>
    <s v="Travel_Rarely"/>
    <n v="1132"/>
    <x v="1"/>
    <n v="1"/>
    <n v="3"/>
    <s v="Medical"/>
    <n v="417"/>
    <n v="3"/>
    <s v="Male"/>
    <n v="48"/>
    <n v="4"/>
    <n v="3"/>
    <x v="4"/>
    <n v="4"/>
    <s v="Divorced"/>
    <n v="9613"/>
    <n v="10942"/>
    <n v="0"/>
    <x v="1"/>
    <n v="17"/>
    <n v="3"/>
    <n v="1"/>
    <n v="3"/>
    <n v="19"/>
    <n v="5"/>
    <n v="2"/>
    <n v="18"/>
    <n v="10"/>
    <n v="3"/>
    <n v="7"/>
    <s v="30-39"/>
  </r>
  <r>
    <n v="36"/>
    <x v="1"/>
    <s v="Non-Travel"/>
    <n v="1105"/>
    <x v="1"/>
    <n v="24"/>
    <n v="4"/>
    <s v="Life Sciences"/>
    <n v="419"/>
    <n v="2"/>
    <s v="Female"/>
    <n v="47"/>
    <n v="3"/>
    <n v="2"/>
    <x v="2"/>
    <n v="2"/>
    <s v="Married"/>
    <n v="5674"/>
    <n v="6927"/>
    <n v="7"/>
    <x v="1"/>
    <n v="15"/>
    <n v="3"/>
    <n v="3"/>
    <n v="1"/>
    <n v="11"/>
    <n v="3"/>
    <n v="3"/>
    <n v="9"/>
    <n v="8"/>
    <n v="0"/>
    <n v="8"/>
    <s v="30-39"/>
  </r>
  <r>
    <n v="32"/>
    <x v="1"/>
    <s v="Travel_Rarely"/>
    <n v="906"/>
    <x v="0"/>
    <n v="7"/>
    <n v="3"/>
    <s v="Life Sciences"/>
    <n v="420"/>
    <n v="4"/>
    <s v="Male"/>
    <n v="91"/>
    <n v="2"/>
    <n v="2"/>
    <x v="0"/>
    <n v="3"/>
    <s v="Married"/>
    <n v="5484"/>
    <n v="16985"/>
    <n v="1"/>
    <x v="1"/>
    <n v="14"/>
    <n v="3"/>
    <n v="3"/>
    <n v="1"/>
    <n v="13"/>
    <n v="3"/>
    <n v="2"/>
    <n v="13"/>
    <n v="8"/>
    <n v="4"/>
    <n v="8"/>
    <s v="30-39"/>
  </r>
  <r>
    <n v="38"/>
    <x v="1"/>
    <s v="Travel_Rarely"/>
    <n v="849"/>
    <x v="1"/>
    <n v="25"/>
    <n v="2"/>
    <s v="Life Sciences"/>
    <n v="421"/>
    <n v="1"/>
    <s v="Female"/>
    <n v="81"/>
    <n v="2"/>
    <n v="3"/>
    <x v="7"/>
    <n v="2"/>
    <s v="Married"/>
    <n v="12061"/>
    <n v="26707"/>
    <n v="3"/>
    <x v="1"/>
    <n v="17"/>
    <n v="3"/>
    <n v="3"/>
    <n v="1"/>
    <n v="19"/>
    <n v="2"/>
    <n v="3"/>
    <n v="10"/>
    <n v="8"/>
    <n v="0"/>
    <n v="1"/>
    <s v="30-39"/>
  </r>
  <r>
    <n v="58"/>
    <x v="1"/>
    <s v="Non-Travel"/>
    <n v="390"/>
    <x v="1"/>
    <n v="1"/>
    <n v="4"/>
    <s v="Life Sciences"/>
    <n v="422"/>
    <n v="4"/>
    <s v="Male"/>
    <n v="32"/>
    <n v="1"/>
    <n v="2"/>
    <x v="4"/>
    <n v="3"/>
    <s v="Divorced"/>
    <n v="5660"/>
    <n v="17056"/>
    <n v="2"/>
    <x v="0"/>
    <n v="13"/>
    <n v="3"/>
    <n v="4"/>
    <n v="1"/>
    <n v="12"/>
    <n v="2"/>
    <n v="3"/>
    <n v="5"/>
    <n v="3"/>
    <n v="1"/>
    <n v="2"/>
    <s v="50+"/>
  </r>
  <r>
    <n v="31"/>
    <x v="1"/>
    <s v="Travel_Rarely"/>
    <n v="691"/>
    <x v="1"/>
    <n v="5"/>
    <n v="4"/>
    <s v="Technical Degree"/>
    <n v="423"/>
    <n v="3"/>
    <s v="Male"/>
    <n v="86"/>
    <n v="3"/>
    <n v="1"/>
    <x v="1"/>
    <n v="4"/>
    <s v="Married"/>
    <n v="4821"/>
    <n v="10077"/>
    <n v="0"/>
    <x v="0"/>
    <n v="12"/>
    <n v="3"/>
    <n v="3"/>
    <n v="1"/>
    <n v="6"/>
    <n v="4"/>
    <n v="3"/>
    <n v="5"/>
    <n v="2"/>
    <n v="0"/>
    <n v="3"/>
    <s v="30-39"/>
  </r>
  <r>
    <n v="31"/>
    <x v="1"/>
    <s v="Travel_Rarely"/>
    <n v="106"/>
    <x v="2"/>
    <n v="2"/>
    <n v="3"/>
    <s v="Human Resources"/>
    <n v="424"/>
    <n v="1"/>
    <s v="Male"/>
    <n v="62"/>
    <n v="2"/>
    <n v="2"/>
    <x v="8"/>
    <n v="1"/>
    <s v="Married"/>
    <n v="6410"/>
    <n v="17822"/>
    <n v="3"/>
    <x v="1"/>
    <n v="12"/>
    <n v="3"/>
    <n v="4"/>
    <n v="0"/>
    <n v="9"/>
    <n v="1"/>
    <n v="3"/>
    <n v="2"/>
    <n v="2"/>
    <n v="1"/>
    <n v="0"/>
    <s v="30-39"/>
  </r>
  <r>
    <n v="45"/>
    <x v="1"/>
    <s v="Travel_Frequently"/>
    <n v="1249"/>
    <x v="1"/>
    <n v="7"/>
    <n v="3"/>
    <s v="Life Sciences"/>
    <n v="425"/>
    <n v="1"/>
    <s v="Male"/>
    <n v="97"/>
    <n v="3"/>
    <n v="3"/>
    <x v="2"/>
    <n v="1"/>
    <s v="Divorced"/>
    <n v="5210"/>
    <n v="20308"/>
    <n v="1"/>
    <x v="1"/>
    <n v="18"/>
    <n v="3"/>
    <n v="1"/>
    <n v="1"/>
    <n v="24"/>
    <n v="2"/>
    <n v="3"/>
    <n v="24"/>
    <n v="9"/>
    <n v="9"/>
    <n v="11"/>
    <s v="40-49"/>
  </r>
  <r>
    <n v="31"/>
    <x v="1"/>
    <s v="Travel_Rarely"/>
    <n v="192"/>
    <x v="1"/>
    <n v="2"/>
    <n v="4"/>
    <s v="Life Sciences"/>
    <n v="426"/>
    <n v="3"/>
    <s v="Male"/>
    <n v="32"/>
    <n v="3"/>
    <n v="1"/>
    <x v="1"/>
    <n v="4"/>
    <s v="Divorced"/>
    <n v="2695"/>
    <n v="7747"/>
    <n v="0"/>
    <x v="0"/>
    <n v="18"/>
    <n v="3"/>
    <n v="2"/>
    <n v="1"/>
    <n v="3"/>
    <n v="2"/>
    <n v="1"/>
    <n v="2"/>
    <n v="2"/>
    <n v="2"/>
    <n v="2"/>
    <s v="30-39"/>
  </r>
  <r>
    <n v="33"/>
    <x v="1"/>
    <s v="Travel_Frequently"/>
    <n v="553"/>
    <x v="1"/>
    <n v="5"/>
    <n v="4"/>
    <s v="Life Sciences"/>
    <n v="428"/>
    <n v="4"/>
    <s v="Female"/>
    <n v="74"/>
    <n v="3"/>
    <n v="3"/>
    <x v="5"/>
    <n v="2"/>
    <s v="Married"/>
    <n v="11878"/>
    <n v="23364"/>
    <n v="6"/>
    <x v="1"/>
    <n v="11"/>
    <n v="3"/>
    <n v="2"/>
    <n v="2"/>
    <n v="12"/>
    <n v="2"/>
    <n v="3"/>
    <n v="10"/>
    <n v="6"/>
    <n v="8"/>
    <n v="8"/>
    <s v="30-39"/>
  </r>
  <r>
    <n v="39"/>
    <x v="1"/>
    <s v="Travel_Rarely"/>
    <n v="117"/>
    <x v="1"/>
    <n v="10"/>
    <n v="1"/>
    <s v="Medical"/>
    <n v="429"/>
    <n v="3"/>
    <s v="Male"/>
    <n v="99"/>
    <n v="3"/>
    <n v="4"/>
    <x v="5"/>
    <n v="1"/>
    <s v="Married"/>
    <n v="17068"/>
    <n v="5355"/>
    <n v="1"/>
    <x v="0"/>
    <n v="14"/>
    <n v="3"/>
    <n v="4"/>
    <n v="0"/>
    <n v="21"/>
    <n v="3"/>
    <n v="3"/>
    <n v="21"/>
    <n v="9"/>
    <n v="11"/>
    <n v="10"/>
    <s v="30-39"/>
  </r>
  <r>
    <n v="43"/>
    <x v="1"/>
    <s v="Travel_Frequently"/>
    <n v="185"/>
    <x v="1"/>
    <n v="10"/>
    <n v="4"/>
    <s v="Life Sciences"/>
    <n v="430"/>
    <n v="3"/>
    <s v="Female"/>
    <n v="33"/>
    <n v="3"/>
    <n v="1"/>
    <x v="2"/>
    <n v="4"/>
    <s v="Single"/>
    <n v="2455"/>
    <n v="10675"/>
    <n v="0"/>
    <x v="1"/>
    <n v="19"/>
    <n v="3"/>
    <n v="1"/>
    <n v="0"/>
    <n v="9"/>
    <n v="5"/>
    <n v="3"/>
    <n v="8"/>
    <n v="7"/>
    <n v="1"/>
    <n v="7"/>
    <s v="40-49"/>
  </r>
  <r>
    <n v="49"/>
    <x v="1"/>
    <s v="Travel_Rarely"/>
    <n v="1091"/>
    <x v="1"/>
    <n v="1"/>
    <n v="2"/>
    <s v="Technical Degree"/>
    <n v="431"/>
    <n v="3"/>
    <s v="Female"/>
    <n v="90"/>
    <n v="2"/>
    <n v="4"/>
    <x v="4"/>
    <n v="3"/>
    <s v="Single"/>
    <n v="13964"/>
    <n v="17810"/>
    <n v="7"/>
    <x v="0"/>
    <n v="12"/>
    <n v="3"/>
    <n v="4"/>
    <n v="0"/>
    <n v="25"/>
    <n v="2"/>
    <n v="3"/>
    <n v="7"/>
    <n v="1"/>
    <n v="0"/>
    <n v="7"/>
    <s v="40-49"/>
  </r>
  <r>
    <n v="52"/>
    <x v="0"/>
    <s v="Travel_Rarely"/>
    <n v="723"/>
    <x v="1"/>
    <n v="8"/>
    <n v="4"/>
    <s v="Medical"/>
    <n v="433"/>
    <n v="3"/>
    <s v="Male"/>
    <n v="85"/>
    <n v="2"/>
    <n v="2"/>
    <x v="1"/>
    <n v="2"/>
    <s v="Married"/>
    <n v="4941"/>
    <n v="17747"/>
    <n v="2"/>
    <x v="1"/>
    <n v="15"/>
    <n v="3"/>
    <n v="1"/>
    <n v="0"/>
    <n v="11"/>
    <n v="3"/>
    <n v="2"/>
    <n v="8"/>
    <n v="2"/>
    <n v="7"/>
    <n v="7"/>
    <s v="50+"/>
  </r>
  <r>
    <n v="27"/>
    <x v="1"/>
    <s v="Travel_Rarely"/>
    <n v="1220"/>
    <x v="1"/>
    <n v="5"/>
    <n v="3"/>
    <s v="Life Sciences"/>
    <n v="434"/>
    <n v="3"/>
    <s v="Female"/>
    <n v="85"/>
    <n v="3"/>
    <n v="1"/>
    <x v="1"/>
    <n v="2"/>
    <s v="Single"/>
    <n v="2478"/>
    <n v="20938"/>
    <n v="1"/>
    <x v="0"/>
    <n v="12"/>
    <n v="3"/>
    <n v="2"/>
    <n v="0"/>
    <n v="4"/>
    <n v="2"/>
    <n v="2"/>
    <n v="4"/>
    <n v="3"/>
    <n v="1"/>
    <n v="2"/>
    <s v="Below 30"/>
  </r>
  <r>
    <n v="32"/>
    <x v="1"/>
    <s v="Travel_Rarely"/>
    <n v="588"/>
    <x v="0"/>
    <n v="8"/>
    <n v="2"/>
    <s v="Technical Degree"/>
    <n v="436"/>
    <n v="3"/>
    <s v="Female"/>
    <n v="65"/>
    <n v="2"/>
    <n v="2"/>
    <x v="0"/>
    <n v="2"/>
    <s v="Married"/>
    <n v="5228"/>
    <n v="24624"/>
    <n v="1"/>
    <x v="0"/>
    <n v="11"/>
    <n v="3"/>
    <n v="4"/>
    <n v="0"/>
    <n v="13"/>
    <n v="2"/>
    <n v="3"/>
    <n v="13"/>
    <n v="12"/>
    <n v="11"/>
    <n v="9"/>
    <s v="30-39"/>
  </r>
  <r>
    <n v="27"/>
    <x v="1"/>
    <s v="Travel_Rarely"/>
    <n v="1377"/>
    <x v="0"/>
    <n v="2"/>
    <n v="3"/>
    <s v="Life Sciences"/>
    <n v="437"/>
    <n v="4"/>
    <s v="Male"/>
    <n v="74"/>
    <n v="3"/>
    <n v="2"/>
    <x v="0"/>
    <n v="3"/>
    <s v="Single"/>
    <n v="4478"/>
    <n v="5242"/>
    <n v="1"/>
    <x v="0"/>
    <n v="11"/>
    <n v="3"/>
    <n v="1"/>
    <n v="0"/>
    <n v="5"/>
    <n v="3"/>
    <n v="3"/>
    <n v="5"/>
    <n v="4"/>
    <n v="0"/>
    <n v="4"/>
    <s v="Below 30"/>
  </r>
  <r>
    <n v="31"/>
    <x v="1"/>
    <s v="Travel_Rarely"/>
    <n v="691"/>
    <x v="0"/>
    <n v="7"/>
    <n v="3"/>
    <s v="Marketing"/>
    <n v="438"/>
    <n v="4"/>
    <s v="Male"/>
    <n v="73"/>
    <n v="3"/>
    <n v="2"/>
    <x v="0"/>
    <n v="4"/>
    <s v="Divorced"/>
    <n v="7547"/>
    <n v="7143"/>
    <n v="4"/>
    <x v="1"/>
    <n v="12"/>
    <n v="3"/>
    <n v="4"/>
    <n v="3"/>
    <n v="13"/>
    <n v="3"/>
    <n v="3"/>
    <n v="7"/>
    <n v="7"/>
    <n v="1"/>
    <n v="7"/>
    <s v="30-39"/>
  </r>
  <r>
    <n v="32"/>
    <x v="1"/>
    <s v="Travel_Rarely"/>
    <n v="1018"/>
    <x v="1"/>
    <n v="2"/>
    <n v="4"/>
    <s v="Medical"/>
    <n v="439"/>
    <n v="1"/>
    <s v="Female"/>
    <n v="74"/>
    <n v="4"/>
    <n v="2"/>
    <x v="1"/>
    <n v="4"/>
    <s v="Single"/>
    <n v="5055"/>
    <n v="10557"/>
    <n v="7"/>
    <x v="1"/>
    <n v="16"/>
    <n v="3"/>
    <n v="3"/>
    <n v="0"/>
    <n v="10"/>
    <n v="0"/>
    <n v="2"/>
    <n v="7"/>
    <n v="7"/>
    <n v="0"/>
    <n v="7"/>
    <s v="30-39"/>
  </r>
  <r>
    <n v="28"/>
    <x v="0"/>
    <s v="Travel_Rarely"/>
    <n v="1157"/>
    <x v="1"/>
    <n v="2"/>
    <n v="4"/>
    <s v="Medical"/>
    <n v="440"/>
    <n v="1"/>
    <s v="Male"/>
    <n v="84"/>
    <n v="1"/>
    <n v="1"/>
    <x v="1"/>
    <n v="4"/>
    <s v="Married"/>
    <n v="3464"/>
    <n v="24737"/>
    <n v="5"/>
    <x v="0"/>
    <n v="13"/>
    <n v="3"/>
    <n v="4"/>
    <n v="0"/>
    <n v="5"/>
    <n v="4"/>
    <n v="2"/>
    <n v="3"/>
    <n v="2"/>
    <n v="2"/>
    <n v="2"/>
    <s v="Below 30"/>
  </r>
  <r>
    <n v="30"/>
    <x v="1"/>
    <s v="Travel_Rarely"/>
    <n v="1275"/>
    <x v="1"/>
    <n v="28"/>
    <n v="2"/>
    <s v="Medical"/>
    <n v="441"/>
    <n v="4"/>
    <s v="Female"/>
    <n v="64"/>
    <n v="3"/>
    <n v="2"/>
    <x v="1"/>
    <n v="4"/>
    <s v="Married"/>
    <n v="5775"/>
    <n v="11934"/>
    <n v="1"/>
    <x v="1"/>
    <n v="13"/>
    <n v="3"/>
    <n v="4"/>
    <n v="2"/>
    <n v="11"/>
    <n v="2"/>
    <n v="3"/>
    <n v="10"/>
    <n v="8"/>
    <n v="1"/>
    <n v="9"/>
    <s v="30-39"/>
  </r>
  <r>
    <n v="31"/>
    <x v="1"/>
    <s v="Travel_Frequently"/>
    <n v="798"/>
    <x v="1"/>
    <n v="7"/>
    <n v="2"/>
    <s v="Life Sciences"/>
    <n v="442"/>
    <n v="3"/>
    <s v="Female"/>
    <n v="48"/>
    <n v="2"/>
    <n v="3"/>
    <x v="3"/>
    <n v="3"/>
    <s v="Married"/>
    <n v="8943"/>
    <n v="14034"/>
    <n v="1"/>
    <x v="1"/>
    <n v="24"/>
    <n v="4"/>
    <n v="1"/>
    <n v="1"/>
    <n v="10"/>
    <n v="2"/>
    <n v="3"/>
    <n v="10"/>
    <n v="9"/>
    <n v="8"/>
    <n v="9"/>
    <s v="30-39"/>
  </r>
  <r>
    <n v="39"/>
    <x v="1"/>
    <s v="Travel_Frequently"/>
    <n v="672"/>
    <x v="1"/>
    <n v="7"/>
    <n v="2"/>
    <s v="Medical"/>
    <n v="444"/>
    <n v="3"/>
    <s v="Male"/>
    <n v="54"/>
    <n v="2"/>
    <n v="5"/>
    <x v="5"/>
    <n v="4"/>
    <s v="Married"/>
    <n v="19272"/>
    <n v="21141"/>
    <n v="1"/>
    <x v="1"/>
    <n v="15"/>
    <n v="3"/>
    <n v="1"/>
    <n v="1"/>
    <n v="21"/>
    <n v="2"/>
    <n v="3"/>
    <n v="21"/>
    <n v="9"/>
    <n v="13"/>
    <n v="3"/>
    <s v="30-39"/>
  </r>
  <r>
    <n v="39"/>
    <x v="0"/>
    <s v="Travel_Rarely"/>
    <n v="1162"/>
    <x v="0"/>
    <n v="3"/>
    <n v="2"/>
    <s v="Medical"/>
    <n v="445"/>
    <n v="4"/>
    <s v="Female"/>
    <n v="41"/>
    <n v="3"/>
    <n v="2"/>
    <x v="0"/>
    <n v="3"/>
    <s v="Married"/>
    <n v="5238"/>
    <n v="17778"/>
    <n v="4"/>
    <x v="0"/>
    <n v="18"/>
    <n v="3"/>
    <n v="1"/>
    <n v="0"/>
    <n v="12"/>
    <n v="3"/>
    <n v="2"/>
    <n v="1"/>
    <n v="0"/>
    <n v="0"/>
    <n v="0"/>
    <s v="30-39"/>
  </r>
  <r>
    <n v="33"/>
    <x v="1"/>
    <s v="Travel_Frequently"/>
    <n v="508"/>
    <x v="0"/>
    <n v="10"/>
    <n v="3"/>
    <s v="Marketing"/>
    <n v="446"/>
    <n v="2"/>
    <s v="Male"/>
    <n v="46"/>
    <n v="2"/>
    <n v="2"/>
    <x v="0"/>
    <n v="4"/>
    <s v="Single"/>
    <n v="4682"/>
    <n v="4317"/>
    <n v="3"/>
    <x v="1"/>
    <n v="14"/>
    <n v="3"/>
    <n v="3"/>
    <n v="0"/>
    <n v="9"/>
    <n v="6"/>
    <n v="2"/>
    <n v="7"/>
    <n v="7"/>
    <n v="0"/>
    <n v="1"/>
    <s v="30-39"/>
  </r>
  <r>
    <n v="47"/>
    <x v="1"/>
    <s v="Travel_Rarely"/>
    <n v="1482"/>
    <x v="1"/>
    <n v="5"/>
    <n v="5"/>
    <s v="Life Sciences"/>
    <n v="447"/>
    <n v="4"/>
    <s v="Male"/>
    <n v="42"/>
    <n v="3"/>
    <n v="5"/>
    <x v="7"/>
    <n v="3"/>
    <s v="Married"/>
    <n v="18300"/>
    <n v="16375"/>
    <n v="4"/>
    <x v="1"/>
    <n v="11"/>
    <n v="3"/>
    <n v="2"/>
    <n v="1"/>
    <n v="21"/>
    <n v="2"/>
    <n v="3"/>
    <n v="3"/>
    <n v="2"/>
    <n v="1"/>
    <n v="1"/>
    <s v="40-49"/>
  </r>
  <r>
    <n v="43"/>
    <x v="1"/>
    <s v="Travel_Frequently"/>
    <n v="559"/>
    <x v="1"/>
    <n v="10"/>
    <n v="4"/>
    <s v="Life Sciences"/>
    <n v="448"/>
    <n v="3"/>
    <s v="Female"/>
    <n v="82"/>
    <n v="2"/>
    <n v="2"/>
    <x v="2"/>
    <n v="3"/>
    <s v="Divorced"/>
    <n v="5257"/>
    <n v="6227"/>
    <n v="1"/>
    <x v="1"/>
    <n v="11"/>
    <n v="3"/>
    <n v="2"/>
    <n v="1"/>
    <n v="9"/>
    <n v="3"/>
    <n v="4"/>
    <n v="9"/>
    <n v="7"/>
    <n v="0"/>
    <n v="0"/>
    <s v="40-49"/>
  </r>
  <r>
    <n v="27"/>
    <x v="1"/>
    <s v="Non-Travel"/>
    <n v="210"/>
    <x v="0"/>
    <n v="1"/>
    <n v="1"/>
    <s v="Marketing"/>
    <n v="449"/>
    <n v="3"/>
    <s v="Male"/>
    <n v="73"/>
    <n v="3"/>
    <n v="2"/>
    <x v="0"/>
    <n v="2"/>
    <s v="Married"/>
    <n v="6349"/>
    <n v="22107"/>
    <n v="0"/>
    <x v="0"/>
    <n v="13"/>
    <n v="3"/>
    <n v="4"/>
    <n v="1"/>
    <n v="6"/>
    <n v="0"/>
    <n v="3"/>
    <n v="5"/>
    <n v="4"/>
    <n v="1"/>
    <n v="4"/>
    <s v="Below 30"/>
  </r>
  <r>
    <n v="54"/>
    <x v="1"/>
    <s v="Travel_Frequently"/>
    <n v="928"/>
    <x v="1"/>
    <n v="20"/>
    <n v="4"/>
    <s v="Life Sciences"/>
    <n v="450"/>
    <n v="4"/>
    <s v="Female"/>
    <n v="31"/>
    <n v="3"/>
    <n v="2"/>
    <x v="1"/>
    <n v="3"/>
    <s v="Single"/>
    <n v="4869"/>
    <n v="16885"/>
    <n v="3"/>
    <x v="1"/>
    <n v="12"/>
    <n v="3"/>
    <n v="4"/>
    <n v="0"/>
    <n v="20"/>
    <n v="4"/>
    <n v="2"/>
    <n v="4"/>
    <n v="3"/>
    <n v="0"/>
    <n v="3"/>
    <s v="50+"/>
  </r>
  <r>
    <n v="43"/>
    <x v="1"/>
    <s v="Travel_Rarely"/>
    <n v="1001"/>
    <x v="1"/>
    <n v="7"/>
    <n v="3"/>
    <s v="Life Sciences"/>
    <n v="451"/>
    <n v="3"/>
    <s v="Female"/>
    <n v="43"/>
    <n v="3"/>
    <n v="3"/>
    <x v="4"/>
    <n v="1"/>
    <s v="Married"/>
    <n v="9985"/>
    <n v="9262"/>
    <n v="8"/>
    <x v="1"/>
    <n v="16"/>
    <n v="3"/>
    <n v="1"/>
    <n v="1"/>
    <n v="10"/>
    <n v="1"/>
    <n v="2"/>
    <n v="1"/>
    <n v="0"/>
    <n v="0"/>
    <n v="0"/>
    <s v="40-49"/>
  </r>
  <r>
    <n v="45"/>
    <x v="1"/>
    <s v="Travel_Rarely"/>
    <n v="549"/>
    <x v="1"/>
    <n v="8"/>
    <n v="4"/>
    <s v="Other"/>
    <n v="452"/>
    <n v="4"/>
    <s v="Male"/>
    <n v="75"/>
    <n v="3"/>
    <n v="2"/>
    <x v="1"/>
    <n v="4"/>
    <s v="Married"/>
    <n v="3697"/>
    <n v="9278"/>
    <n v="9"/>
    <x v="1"/>
    <n v="14"/>
    <n v="3"/>
    <n v="1"/>
    <n v="2"/>
    <n v="12"/>
    <n v="3"/>
    <n v="3"/>
    <n v="10"/>
    <n v="9"/>
    <n v="9"/>
    <n v="8"/>
    <s v="40-49"/>
  </r>
  <r>
    <n v="40"/>
    <x v="1"/>
    <s v="Travel_Rarely"/>
    <n v="1124"/>
    <x v="0"/>
    <n v="1"/>
    <n v="2"/>
    <s v="Medical"/>
    <n v="453"/>
    <n v="2"/>
    <s v="Male"/>
    <n v="57"/>
    <n v="1"/>
    <n v="2"/>
    <x v="0"/>
    <n v="4"/>
    <s v="Married"/>
    <n v="7457"/>
    <n v="13273"/>
    <n v="2"/>
    <x v="0"/>
    <n v="22"/>
    <n v="4"/>
    <n v="3"/>
    <n v="3"/>
    <n v="6"/>
    <n v="2"/>
    <n v="2"/>
    <n v="4"/>
    <n v="3"/>
    <n v="0"/>
    <n v="2"/>
    <s v="40-49"/>
  </r>
  <r>
    <n v="29"/>
    <x v="0"/>
    <s v="Travel_Rarely"/>
    <n v="318"/>
    <x v="1"/>
    <n v="8"/>
    <n v="4"/>
    <s v="Other"/>
    <n v="454"/>
    <n v="2"/>
    <s v="Male"/>
    <n v="77"/>
    <n v="1"/>
    <n v="1"/>
    <x v="2"/>
    <n v="1"/>
    <s v="Married"/>
    <n v="2119"/>
    <n v="4759"/>
    <n v="1"/>
    <x v="0"/>
    <n v="11"/>
    <n v="3"/>
    <n v="4"/>
    <n v="0"/>
    <n v="7"/>
    <n v="4"/>
    <n v="2"/>
    <n v="7"/>
    <n v="7"/>
    <n v="0"/>
    <n v="7"/>
    <s v="Below 30"/>
  </r>
  <r>
    <n v="29"/>
    <x v="1"/>
    <s v="Travel_Rarely"/>
    <n v="738"/>
    <x v="1"/>
    <n v="9"/>
    <n v="5"/>
    <s v="Other"/>
    <n v="455"/>
    <n v="2"/>
    <s v="Male"/>
    <n v="30"/>
    <n v="2"/>
    <n v="1"/>
    <x v="2"/>
    <n v="4"/>
    <s v="Single"/>
    <n v="3983"/>
    <n v="7621"/>
    <n v="0"/>
    <x v="1"/>
    <n v="17"/>
    <n v="3"/>
    <n v="3"/>
    <n v="0"/>
    <n v="4"/>
    <n v="2"/>
    <n v="3"/>
    <n v="3"/>
    <n v="2"/>
    <n v="2"/>
    <n v="2"/>
    <s v="Below 30"/>
  </r>
  <r>
    <n v="30"/>
    <x v="1"/>
    <s v="Travel_Rarely"/>
    <n v="570"/>
    <x v="0"/>
    <n v="5"/>
    <n v="3"/>
    <s v="Marketing"/>
    <n v="456"/>
    <n v="4"/>
    <s v="Female"/>
    <n v="30"/>
    <n v="2"/>
    <n v="2"/>
    <x v="0"/>
    <n v="3"/>
    <s v="Divorced"/>
    <n v="6118"/>
    <n v="5431"/>
    <n v="1"/>
    <x v="1"/>
    <n v="13"/>
    <n v="3"/>
    <n v="3"/>
    <n v="3"/>
    <n v="10"/>
    <n v="2"/>
    <n v="3"/>
    <n v="10"/>
    <n v="9"/>
    <n v="1"/>
    <n v="2"/>
    <s v="30-39"/>
  </r>
  <r>
    <n v="27"/>
    <x v="1"/>
    <s v="Travel_Rarely"/>
    <n v="1130"/>
    <x v="0"/>
    <n v="8"/>
    <n v="4"/>
    <s v="Marketing"/>
    <n v="458"/>
    <n v="2"/>
    <s v="Female"/>
    <n v="56"/>
    <n v="3"/>
    <n v="2"/>
    <x v="0"/>
    <n v="2"/>
    <s v="Married"/>
    <n v="6214"/>
    <n v="3415"/>
    <n v="1"/>
    <x v="1"/>
    <n v="18"/>
    <n v="3"/>
    <n v="1"/>
    <n v="1"/>
    <n v="8"/>
    <n v="3"/>
    <n v="3"/>
    <n v="8"/>
    <n v="7"/>
    <n v="0"/>
    <n v="7"/>
    <s v="Below 30"/>
  </r>
  <r>
    <n v="37"/>
    <x v="1"/>
    <s v="Travel_Rarely"/>
    <n v="1192"/>
    <x v="1"/>
    <n v="5"/>
    <n v="2"/>
    <s v="Medical"/>
    <n v="460"/>
    <n v="4"/>
    <s v="Male"/>
    <n v="61"/>
    <n v="3"/>
    <n v="2"/>
    <x v="3"/>
    <n v="4"/>
    <s v="Divorced"/>
    <n v="6347"/>
    <n v="23177"/>
    <n v="7"/>
    <x v="1"/>
    <n v="16"/>
    <n v="3"/>
    <n v="3"/>
    <n v="2"/>
    <n v="8"/>
    <n v="2"/>
    <n v="2"/>
    <n v="6"/>
    <n v="2"/>
    <n v="0"/>
    <n v="4"/>
    <s v="30-39"/>
  </r>
  <r>
    <n v="38"/>
    <x v="1"/>
    <s v="Travel_Rarely"/>
    <n v="343"/>
    <x v="1"/>
    <n v="15"/>
    <n v="2"/>
    <s v="Life Sciences"/>
    <n v="461"/>
    <n v="3"/>
    <s v="Male"/>
    <n v="92"/>
    <n v="2"/>
    <n v="3"/>
    <x v="7"/>
    <n v="4"/>
    <s v="Divorced"/>
    <n v="11510"/>
    <n v="15682"/>
    <n v="0"/>
    <x v="0"/>
    <n v="14"/>
    <n v="3"/>
    <n v="2"/>
    <n v="1"/>
    <n v="12"/>
    <n v="3"/>
    <n v="3"/>
    <n v="11"/>
    <n v="10"/>
    <n v="2"/>
    <n v="9"/>
    <s v="30-39"/>
  </r>
  <r>
    <n v="31"/>
    <x v="1"/>
    <s v="Travel_Rarely"/>
    <n v="1232"/>
    <x v="1"/>
    <n v="7"/>
    <n v="4"/>
    <s v="Medical"/>
    <n v="462"/>
    <n v="3"/>
    <s v="Female"/>
    <n v="39"/>
    <n v="3"/>
    <n v="3"/>
    <x v="3"/>
    <n v="4"/>
    <s v="Single"/>
    <n v="7143"/>
    <n v="25713"/>
    <n v="1"/>
    <x v="0"/>
    <n v="14"/>
    <n v="3"/>
    <n v="3"/>
    <n v="0"/>
    <n v="11"/>
    <n v="2"/>
    <n v="2"/>
    <n v="11"/>
    <n v="9"/>
    <n v="4"/>
    <n v="10"/>
    <s v="30-39"/>
  </r>
  <r>
    <n v="29"/>
    <x v="1"/>
    <s v="Travel_Rarely"/>
    <n v="144"/>
    <x v="0"/>
    <n v="10"/>
    <n v="1"/>
    <s v="Marketing"/>
    <n v="463"/>
    <n v="4"/>
    <s v="Female"/>
    <n v="39"/>
    <n v="2"/>
    <n v="2"/>
    <x v="0"/>
    <n v="2"/>
    <s v="Divorced"/>
    <n v="8268"/>
    <n v="11866"/>
    <n v="1"/>
    <x v="0"/>
    <n v="14"/>
    <n v="3"/>
    <n v="1"/>
    <n v="2"/>
    <n v="7"/>
    <n v="2"/>
    <n v="3"/>
    <n v="7"/>
    <n v="7"/>
    <n v="1"/>
    <n v="7"/>
    <s v="Below 30"/>
  </r>
  <r>
    <n v="35"/>
    <x v="1"/>
    <s v="Travel_Rarely"/>
    <n v="1296"/>
    <x v="1"/>
    <n v="5"/>
    <n v="4"/>
    <s v="Technical Degree"/>
    <n v="464"/>
    <n v="3"/>
    <s v="Male"/>
    <n v="62"/>
    <n v="3"/>
    <n v="3"/>
    <x v="3"/>
    <n v="2"/>
    <s v="Single"/>
    <n v="8095"/>
    <n v="18264"/>
    <n v="0"/>
    <x v="1"/>
    <n v="13"/>
    <n v="3"/>
    <n v="4"/>
    <n v="0"/>
    <n v="17"/>
    <n v="5"/>
    <n v="3"/>
    <n v="16"/>
    <n v="6"/>
    <n v="0"/>
    <n v="13"/>
    <s v="30-39"/>
  </r>
  <r>
    <n v="23"/>
    <x v="1"/>
    <s v="Travel_Rarely"/>
    <n v="1309"/>
    <x v="1"/>
    <n v="26"/>
    <n v="1"/>
    <s v="Life Sciences"/>
    <n v="465"/>
    <n v="3"/>
    <s v="Male"/>
    <n v="83"/>
    <n v="3"/>
    <n v="1"/>
    <x v="1"/>
    <n v="4"/>
    <s v="Divorced"/>
    <n v="2904"/>
    <n v="16092"/>
    <n v="1"/>
    <x v="1"/>
    <n v="12"/>
    <n v="3"/>
    <n v="3"/>
    <n v="2"/>
    <n v="4"/>
    <n v="2"/>
    <n v="2"/>
    <n v="4"/>
    <n v="2"/>
    <n v="0"/>
    <n v="2"/>
    <s v="Below 30"/>
  </r>
  <r>
    <n v="41"/>
    <x v="1"/>
    <s v="Travel_Rarely"/>
    <n v="483"/>
    <x v="1"/>
    <n v="6"/>
    <n v="3"/>
    <s v="Medical"/>
    <n v="466"/>
    <n v="4"/>
    <s v="Male"/>
    <n v="95"/>
    <n v="2"/>
    <n v="2"/>
    <x v="3"/>
    <n v="2"/>
    <s v="Single"/>
    <n v="6032"/>
    <n v="10110"/>
    <n v="6"/>
    <x v="0"/>
    <n v="15"/>
    <n v="3"/>
    <n v="4"/>
    <n v="0"/>
    <n v="8"/>
    <n v="3"/>
    <n v="3"/>
    <n v="5"/>
    <n v="4"/>
    <n v="1"/>
    <n v="2"/>
    <s v="40-49"/>
  </r>
  <r>
    <n v="47"/>
    <x v="1"/>
    <s v="Travel_Frequently"/>
    <n v="1309"/>
    <x v="0"/>
    <n v="4"/>
    <n v="1"/>
    <s v="Medical"/>
    <n v="467"/>
    <n v="2"/>
    <s v="Male"/>
    <n v="99"/>
    <n v="3"/>
    <n v="2"/>
    <x v="6"/>
    <n v="3"/>
    <s v="Single"/>
    <n v="2976"/>
    <n v="25751"/>
    <n v="3"/>
    <x v="1"/>
    <n v="19"/>
    <n v="3"/>
    <n v="1"/>
    <n v="0"/>
    <n v="5"/>
    <n v="3"/>
    <n v="3"/>
    <n v="0"/>
    <n v="0"/>
    <n v="0"/>
    <n v="0"/>
    <s v="40-49"/>
  </r>
  <r>
    <n v="42"/>
    <x v="1"/>
    <s v="Travel_Rarely"/>
    <n v="810"/>
    <x v="1"/>
    <n v="23"/>
    <n v="5"/>
    <s v="Life Sciences"/>
    <n v="468"/>
    <n v="1"/>
    <s v="Female"/>
    <n v="44"/>
    <n v="3"/>
    <n v="4"/>
    <x v="7"/>
    <n v="4"/>
    <s v="Single"/>
    <n v="15992"/>
    <n v="15901"/>
    <n v="2"/>
    <x v="1"/>
    <n v="14"/>
    <n v="3"/>
    <n v="2"/>
    <n v="0"/>
    <n v="16"/>
    <n v="2"/>
    <n v="3"/>
    <n v="1"/>
    <n v="0"/>
    <n v="0"/>
    <n v="0"/>
    <s v="40-49"/>
  </r>
  <r>
    <n v="29"/>
    <x v="1"/>
    <s v="Non-Travel"/>
    <n v="746"/>
    <x v="0"/>
    <n v="2"/>
    <n v="3"/>
    <s v="Life Sciences"/>
    <n v="469"/>
    <n v="4"/>
    <s v="Male"/>
    <n v="61"/>
    <n v="3"/>
    <n v="2"/>
    <x v="0"/>
    <n v="3"/>
    <s v="Married"/>
    <n v="4649"/>
    <n v="16928"/>
    <n v="1"/>
    <x v="1"/>
    <n v="14"/>
    <n v="3"/>
    <n v="1"/>
    <n v="1"/>
    <n v="4"/>
    <n v="3"/>
    <n v="2"/>
    <n v="4"/>
    <n v="3"/>
    <n v="0"/>
    <n v="2"/>
    <s v="Below 30"/>
  </r>
  <r>
    <n v="42"/>
    <x v="1"/>
    <s v="Travel_Rarely"/>
    <n v="544"/>
    <x v="2"/>
    <n v="2"/>
    <n v="1"/>
    <s v="Technical Degree"/>
    <n v="470"/>
    <n v="3"/>
    <s v="Male"/>
    <n v="52"/>
    <n v="3"/>
    <n v="1"/>
    <x v="8"/>
    <n v="3"/>
    <s v="Divorced"/>
    <n v="2696"/>
    <n v="24017"/>
    <n v="0"/>
    <x v="0"/>
    <n v="11"/>
    <n v="3"/>
    <n v="3"/>
    <n v="1"/>
    <n v="4"/>
    <n v="5"/>
    <n v="3"/>
    <n v="3"/>
    <n v="2"/>
    <n v="1"/>
    <n v="0"/>
    <s v="40-49"/>
  </r>
  <r>
    <n v="32"/>
    <x v="1"/>
    <s v="Travel_Rarely"/>
    <n v="1062"/>
    <x v="1"/>
    <n v="2"/>
    <n v="3"/>
    <s v="Medical"/>
    <n v="471"/>
    <n v="3"/>
    <s v="Female"/>
    <n v="75"/>
    <n v="3"/>
    <n v="1"/>
    <x v="2"/>
    <n v="2"/>
    <s v="Married"/>
    <n v="2370"/>
    <n v="3956"/>
    <n v="1"/>
    <x v="1"/>
    <n v="13"/>
    <n v="3"/>
    <n v="3"/>
    <n v="1"/>
    <n v="8"/>
    <n v="4"/>
    <n v="3"/>
    <n v="8"/>
    <n v="0"/>
    <n v="0"/>
    <n v="7"/>
    <s v="30-39"/>
  </r>
  <r>
    <n v="48"/>
    <x v="1"/>
    <s v="Travel_Rarely"/>
    <n v="530"/>
    <x v="0"/>
    <n v="29"/>
    <n v="1"/>
    <s v="Medical"/>
    <n v="473"/>
    <n v="1"/>
    <s v="Female"/>
    <n v="91"/>
    <n v="3"/>
    <n v="3"/>
    <x v="5"/>
    <n v="3"/>
    <s v="Married"/>
    <n v="12504"/>
    <n v="23978"/>
    <n v="3"/>
    <x v="1"/>
    <n v="21"/>
    <n v="4"/>
    <n v="2"/>
    <n v="1"/>
    <n v="15"/>
    <n v="3"/>
    <n v="1"/>
    <n v="0"/>
    <n v="0"/>
    <n v="0"/>
    <n v="0"/>
    <s v="40-49"/>
  </r>
  <r>
    <n v="37"/>
    <x v="1"/>
    <s v="Travel_Rarely"/>
    <n v="1319"/>
    <x v="1"/>
    <n v="6"/>
    <n v="3"/>
    <s v="Medical"/>
    <n v="474"/>
    <n v="3"/>
    <s v="Male"/>
    <n v="51"/>
    <n v="4"/>
    <n v="2"/>
    <x v="1"/>
    <n v="1"/>
    <s v="Divorced"/>
    <n v="5974"/>
    <n v="17001"/>
    <n v="4"/>
    <x v="0"/>
    <n v="13"/>
    <n v="3"/>
    <n v="1"/>
    <n v="2"/>
    <n v="13"/>
    <n v="2"/>
    <n v="3"/>
    <n v="7"/>
    <n v="7"/>
    <n v="6"/>
    <n v="7"/>
    <s v="30-39"/>
  </r>
  <r>
    <n v="30"/>
    <x v="1"/>
    <s v="Non-Travel"/>
    <n v="641"/>
    <x v="0"/>
    <n v="25"/>
    <n v="2"/>
    <s v="Technical Degree"/>
    <n v="475"/>
    <n v="4"/>
    <s v="Female"/>
    <n v="85"/>
    <n v="3"/>
    <n v="2"/>
    <x v="0"/>
    <n v="3"/>
    <s v="Married"/>
    <n v="4736"/>
    <n v="6069"/>
    <n v="7"/>
    <x v="0"/>
    <n v="12"/>
    <n v="3"/>
    <n v="2"/>
    <n v="1"/>
    <n v="4"/>
    <n v="2"/>
    <n v="4"/>
    <n v="2"/>
    <n v="2"/>
    <n v="2"/>
    <n v="2"/>
    <s v="30-39"/>
  </r>
  <r>
    <n v="26"/>
    <x v="1"/>
    <s v="Travel_Rarely"/>
    <n v="933"/>
    <x v="0"/>
    <n v="1"/>
    <n v="3"/>
    <s v="Life Sciences"/>
    <n v="476"/>
    <n v="3"/>
    <s v="Male"/>
    <n v="57"/>
    <n v="3"/>
    <n v="2"/>
    <x v="0"/>
    <n v="3"/>
    <s v="Married"/>
    <n v="5296"/>
    <n v="20156"/>
    <n v="1"/>
    <x v="1"/>
    <n v="17"/>
    <n v="3"/>
    <n v="2"/>
    <n v="1"/>
    <n v="8"/>
    <n v="3"/>
    <n v="3"/>
    <n v="8"/>
    <n v="7"/>
    <n v="7"/>
    <n v="7"/>
    <s v="Below 30"/>
  </r>
  <r>
    <n v="42"/>
    <x v="1"/>
    <s v="Travel_Rarely"/>
    <n v="1332"/>
    <x v="1"/>
    <n v="2"/>
    <n v="4"/>
    <s v="Other"/>
    <n v="477"/>
    <n v="1"/>
    <s v="Male"/>
    <n v="98"/>
    <n v="2"/>
    <n v="2"/>
    <x v="4"/>
    <n v="4"/>
    <s v="Single"/>
    <n v="6781"/>
    <n v="17078"/>
    <n v="3"/>
    <x v="1"/>
    <n v="23"/>
    <n v="4"/>
    <n v="2"/>
    <n v="0"/>
    <n v="14"/>
    <n v="6"/>
    <n v="3"/>
    <n v="1"/>
    <n v="0"/>
    <n v="0"/>
    <n v="0"/>
    <s v="40-49"/>
  </r>
  <r>
    <n v="21"/>
    <x v="0"/>
    <s v="Travel_Frequently"/>
    <n v="756"/>
    <x v="0"/>
    <n v="1"/>
    <n v="1"/>
    <s v="Technical Degree"/>
    <n v="478"/>
    <n v="1"/>
    <s v="Female"/>
    <n v="99"/>
    <n v="2"/>
    <n v="1"/>
    <x v="6"/>
    <n v="2"/>
    <s v="Single"/>
    <n v="2174"/>
    <n v="9150"/>
    <n v="1"/>
    <x v="0"/>
    <n v="11"/>
    <n v="3"/>
    <n v="3"/>
    <n v="0"/>
    <n v="3"/>
    <n v="3"/>
    <n v="3"/>
    <n v="3"/>
    <n v="2"/>
    <n v="1"/>
    <n v="2"/>
    <s v="Below 30"/>
  </r>
  <r>
    <n v="36"/>
    <x v="1"/>
    <s v="Non-Travel"/>
    <n v="845"/>
    <x v="0"/>
    <n v="1"/>
    <n v="5"/>
    <s v="Medical"/>
    <n v="479"/>
    <n v="4"/>
    <s v="Female"/>
    <n v="45"/>
    <n v="3"/>
    <n v="2"/>
    <x v="0"/>
    <n v="4"/>
    <s v="Single"/>
    <n v="6653"/>
    <n v="15276"/>
    <n v="4"/>
    <x v="1"/>
    <n v="15"/>
    <n v="3"/>
    <n v="2"/>
    <n v="0"/>
    <n v="7"/>
    <n v="6"/>
    <n v="3"/>
    <n v="1"/>
    <n v="0"/>
    <n v="0"/>
    <n v="0"/>
    <s v="30-39"/>
  </r>
  <r>
    <n v="36"/>
    <x v="1"/>
    <s v="Travel_Frequently"/>
    <n v="541"/>
    <x v="0"/>
    <n v="3"/>
    <n v="4"/>
    <s v="Medical"/>
    <n v="481"/>
    <n v="1"/>
    <s v="Male"/>
    <n v="48"/>
    <n v="2"/>
    <n v="3"/>
    <x v="0"/>
    <n v="4"/>
    <s v="Married"/>
    <n v="9699"/>
    <n v="7246"/>
    <n v="4"/>
    <x v="1"/>
    <n v="11"/>
    <n v="3"/>
    <n v="1"/>
    <n v="1"/>
    <n v="16"/>
    <n v="2"/>
    <n v="3"/>
    <n v="13"/>
    <n v="9"/>
    <n v="1"/>
    <n v="12"/>
    <s v="30-39"/>
  </r>
  <r>
    <n v="57"/>
    <x v="1"/>
    <s v="Travel_Rarely"/>
    <n v="593"/>
    <x v="1"/>
    <n v="1"/>
    <n v="4"/>
    <s v="Medical"/>
    <n v="482"/>
    <n v="4"/>
    <s v="Male"/>
    <n v="88"/>
    <n v="3"/>
    <n v="2"/>
    <x v="4"/>
    <n v="3"/>
    <s v="Married"/>
    <n v="6755"/>
    <n v="2967"/>
    <n v="2"/>
    <x v="1"/>
    <n v="11"/>
    <n v="3"/>
    <n v="3"/>
    <n v="0"/>
    <n v="15"/>
    <n v="2"/>
    <n v="3"/>
    <n v="3"/>
    <n v="2"/>
    <n v="1"/>
    <n v="2"/>
    <s v="50+"/>
  </r>
  <r>
    <n v="40"/>
    <x v="1"/>
    <s v="Travel_Rarely"/>
    <n v="1171"/>
    <x v="1"/>
    <n v="10"/>
    <n v="4"/>
    <s v="Life Sciences"/>
    <n v="483"/>
    <n v="4"/>
    <s v="Female"/>
    <n v="46"/>
    <n v="4"/>
    <n v="1"/>
    <x v="2"/>
    <n v="3"/>
    <s v="Married"/>
    <n v="2213"/>
    <n v="22495"/>
    <n v="3"/>
    <x v="0"/>
    <n v="13"/>
    <n v="3"/>
    <n v="3"/>
    <n v="1"/>
    <n v="10"/>
    <n v="3"/>
    <n v="3"/>
    <n v="7"/>
    <n v="7"/>
    <n v="1"/>
    <n v="7"/>
    <s v="40-49"/>
  </r>
  <r>
    <n v="21"/>
    <x v="1"/>
    <s v="Non-Travel"/>
    <n v="895"/>
    <x v="0"/>
    <n v="9"/>
    <n v="2"/>
    <s v="Medical"/>
    <n v="484"/>
    <n v="1"/>
    <s v="Male"/>
    <n v="39"/>
    <n v="3"/>
    <n v="1"/>
    <x v="6"/>
    <n v="4"/>
    <s v="Single"/>
    <n v="2610"/>
    <n v="2851"/>
    <n v="1"/>
    <x v="1"/>
    <n v="24"/>
    <n v="4"/>
    <n v="3"/>
    <n v="0"/>
    <n v="3"/>
    <n v="3"/>
    <n v="2"/>
    <n v="3"/>
    <n v="2"/>
    <n v="2"/>
    <n v="2"/>
    <s v="Below 30"/>
  </r>
  <r>
    <n v="33"/>
    <x v="0"/>
    <s v="Travel_Rarely"/>
    <n v="350"/>
    <x v="0"/>
    <n v="5"/>
    <n v="3"/>
    <s v="Marketing"/>
    <n v="485"/>
    <n v="4"/>
    <s v="Female"/>
    <n v="34"/>
    <n v="3"/>
    <n v="1"/>
    <x v="6"/>
    <n v="3"/>
    <s v="Single"/>
    <n v="2851"/>
    <n v="9150"/>
    <n v="1"/>
    <x v="0"/>
    <n v="13"/>
    <n v="3"/>
    <n v="2"/>
    <n v="0"/>
    <n v="1"/>
    <n v="2"/>
    <n v="3"/>
    <n v="1"/>
    <n v="0"/>
    <n v="0"/>
    <n v="0"/>
    <s v="30-39"/>
  </r>
  <r>
    <n v="37"/>
    <x v="1"/>
    <s v="Travel_Rarely"/>
    <n v="921"/>
    <x v="1"/>
    <n v="10"/>
    <n v="3"/>
    <s v="Medical"/>
    <n v="486"/>
    <n v="3"/>
    <s v="Female"/>
    <n v="98"/>
    <n v="3"/>
    <n v="1"/>
    <x v="2"/>
    <n v="1"/>
    <s v="Married"/>
    <n v="3452"/>
    <n v="17663"/>
    <n v="6"/>
    <x v="1"/>
    <n v="20"/>
    <n v="4"/>
    <n v="2"/>
    <n v="1"/>
    <n v="17"/>
    <n v="3"/>
    <n v="3"/>
    <n v="5"/>
    <n v="4"/>
    <n v="0"/>
    <n v="3"/>
    <s v="30-39"/>
  </r>
  <r>
    <n v="46"/>
    <x v="1"/>
    <s v="Non-Travel"/>
    <n v="1144"/>
    <x v="1"/>
    <n v="7"/>
    <n v="4"/>
    <s v="Medical"/>
    <n v="487"/>
    <n v="3"/>
    <s v="Female"/>
    <n v="30"/>
    <n v="3"/>
    <n v="2"/>
    <x v="3"/>
    <n v="3"/>
    <s v="Married"/>
    <n v="5258"/>
    <n v="16044"/>
    <n v="2"/>
    <x v="1"/>
    <n v="14"/>
    <n v="3"/>
    <n v="3"/>
    <n v="0"/>
    <n v="7"/>
    <n v="2"/>
    <n v="4"/>
    <n v="1"/>
    <n v="0"/>
    <n v="0"/>
    <n v="0"/>
    <s v="40-49"/>
  </r>
  <r>
    <n v="41"/>
    <x v="0"/>
    <s v="Travel_Frequently"/>
    <n v="143"/>
    <x v="0"/>
    <n v="4"/>
    <n v="3"/>
    <s v="Marketing"/>
    <n v="488"/>
    <n v="1"/>
    <s v="Male"/>
    <n v="56"/>
    <n v="3"/>
    <n v="2"/>
    <x v="0"/>
    <n v="2"/>
    <s v="Single"/>
    <n v="9355"/>
    <n v="9558"/>
    <n v="1"/>
    <x v="1"/>
    <n v="18"/>
    <n v="3"/>
    <n v="3"/>
    <n v="0"/>
    <n v="8"/>
    <n v="5"/>
    <n v="3"/>
    <n v="8"/>
    <n v="7"/>
    <n v="7"/>
    <n v="7"/>
    <s v="40-49"/>
  </r>
  <r>
    <n v="50"/>
    <x v="1"/>
    <s v="Travel_Rarely"/>
    <n v="1046"/>
    <x v="1"/>
    <n v="10"/>
    <n v="3"/>
    <s v="Technical Degree"/>
    <n v="491"/>
    <n v="4"/>
    <s v="Male"/>
    <n v="100"/>
    <n v="2"/>
    <n v="3"/>
    <x v="4"/>
    <n v="4"/>
    <s v="Single"/>
    <n v="10496"/>
    <n v="2755"/>
    <n v="6"/>
    <x v="1"/>
    <n v="15"/>
    <n v="3"/>
    <n v="4"/>
    <n v="0"/>
    <n v="20"/>
    <n v="2"/>
    <n v="3"/>
    <n v="4"/>
    <n v="3"/>
    <n v="1"/>
    <n v="3"/>
    <s v="50+"/>
  </r>
  <r>
    <n v="40"/>
    <x v="0"/>
    <s v="Travel_Rarely"/>
    <n v="575"/>
    <x v="0"/>
    <n v="22"/>
    <n v="2"/>
    <s v="Marketing"/>
    <n v="492"/>
    <n v="3"/>
    <s v="Male"/>
    <n v="68"/>
    <n v="2"/>
    <n v="2"/>
    <x v="0"/>
    <n v="3"/>
    <s v="Married"/>
    <n v="6380"/>
    <n v="6110"/>
    <n v="2"/>
    <x v="0"/>
    <n v="12"/>
    <n v="3"/>
    <n v="1"/>
    <n v="2"/>
    <n v="8"/>
    <n v="6"/>
    <n v="3"/>
    <n v="6"/>
    <n v="4"/>
    <n v="1"/>
    <n v="0"/>
    <s v="40-49"/>
  </r>
  <r>
    <n v="31"/>
    <x v="1"/>
    <s v="Travel_Rarely"/>
    <n v="408"/>
    <x v="1"/>
    <n v="9"/>
    <n v="4"/>
    <s v="Life Sciences"/>
    <n v="493"/>
    <n v="3"/>
    <s v="Male"/>
    <n v="42"/>
    <n v="2"/>
    <n v="1"/>
    <x v="1"/>
    <n v="2"/>
    <s v="Single"/>
    <n v="2657"/>
    <n v="7551"/>
    <n v="0"/>
    <x v="0"/>
    <n v="16"/>
    <n v="3"/>
    <n v="4"/>
    <n v="0"/>
    <n v="3"/>
    <n v="5"/>
    <n v="3"/>
    <n v="2"/>
    <n v="2"/>
    <n v="2"/>
    <n v="2"/>
    <s v="30-39"/>
  </r>
  <r>
    <n v="21"/>
    <x v="0"/>
    <s v="Travel_Rarely"/>
    <n v="156"/>
    <x v="0"/>
    <n v="12"/>
    <n v="3"/>
    <s v="Life Sciences"/>
    <n v="494"/>
    <n v="3"/>
    <s v="Female"/>
    <n v="90"/>
    <n v="4"/>
    <n v="1"/>
    <x v="6"/>
    <n v="2"/>
    <s v="Single"/>
    <n v="2716"/>
    <n v="25422"/>
    <n v="1"/>
    <x v="1"/>
    <n v="15"/>
    <n v="3"/>
    <n v="4"/>
    <n v="0"/>
    <n v="1"/>
    <n v="0"/>
    <n v="3"/>
    <n v="1"/>
    <n v="0"/>
    <n v="0"/>
    <n v="0"/>
    <s v="Below 30"/>
  </r>
  <r>
    <n v="29"/>
    <x v="1"/>
    <s v="Travel_Rarely"/>
    <n v="1283"/>
    <x v="1"/>
    <n v="23"/>
    <n v="3"/>
    <s v="Life Sciences"/>
    <n v="495"/>
    <n v="4"/>
    <s v="Male"/>
    <n v="54"/>
    <n v="3"/>
    <n v="1"/>
    <x v="1"/>
    <n v="4"/>
    <s v="Single"/>
    <n v="2201"/>
    <n v="18168"/>
    <n v="9"/>
    <x v="1"/>
    <n v="16"/>
    <n v="3"/>
    <n v="4"/>
    <n v="0"/>
    <n v="6"/>
    <n v="4"/>
    <n v="3"/>
    <n v="3"/>
    <n v="2"/>
    <n v="1"/>
    <n v="2"/>
    <s v="Below 30"/>
  </r>
  <r>
    <n v="35"/>
    <x v="1"/>
    <s v="Travel_Rarely"/>
    <n v="755"/>
    <x v="1"/>
    <n v="9"/>
    <n v="4"/>
    <s v="Life Sciences"/>
    <n v="496"/>
    <n v="3"/>
    <s v="Male"/>
    <n v="97"/>
    <n v="2"/>
    <n v="2"/>
    <x v="4"/>
    <n v="2"/>
    <s v="Single"/>
    <n v="6540"/>
    <n v="19394"/>
    <n v="9"/>
    <x v="1"/>
    <n v="19"/>
    <n v="3"/>
    <n v="3"/>
    <n v="0"/>
    <n v="10"/>
    <n v="5"/>
    <n v="3"/>
    <n v="1"/>
    <n v="1"/>
    <n v="0"/>
    <n v="0"/>
    <s v="30-39"/>
  </r>
  <r>
    <n v="27"/>
    <x v="1"/>
    <s v="Travel_Rarely"/>
    <n v="1469"/>
    <x v="1"/>
    <n v="1"/>
    <n v="2"/>
    <s v="Medical"/>
    <n v="497"/>
    <n v="4"/>
    <s v="Male"/>
    <n v="82"/>
    <n v="3"/>
    <n v="1"/>
    <x v="2"/>
    <n v="2"/>
    <s v="Divorced"/>
    <n v="3816"/>
    <n v="17881"/>
    <n v="1"/>
    <x v="1"/>
    <n v="11"/>
    <n v="3"/>
    <n v="2"/>
    <n v="1"/>
    <n v="5"/>
    <n v="2"/>
    <n v="3"/>
    <n v="5"/>
    <n v="2"/>
    <n v="0"/>
    <n v="4"/>
    <s v="Below 30"/>
  </r>
  <r>
    <n v="28"/>
    <x v="1"/>
    <s v="Travel_Rarely"/>
    <n v="304"/>
    <x v="0"/>
    <n v="9"/>
    <n v="4"/>
    <s v="Life Sciences"/>
    <n v="498"/>
    <n v="2"/>
    <s v="Male"/>
    <n v="92"/>
    <n v="3"/>
    <n v="2"/>
    <x v="0"/>
    <n v="4"/>
    <s v="Single"/>
    <n v="5253"/>
    <n v="20750"/>
    <n v="1"/>
    <x v="1"/>
    <n v="16"/>
    <n v="3"/>
    <n v="4"/>
    <n v="0"/>
    <n v="7"/>
    <n v="1"/>
    <n v="3"/>
    <n v="7"/>
    <n v="5"/>
    <n v="0"/>
    <n v="7"/>
    <s v="Below 30"/>
  </r>
  <r>
    <n v="49"/>
    <x v="1"/>
    <s v="Travel_Rarely"/>
    <n v="1261"/>
    <x v="1"/>
    <n v="7"/>
    <n v="3"/>
    <s v="Other"/>
    <n v="499"/>
    <n v="2"/>
    <s v="Male"/>
    <n v="31"/>
    <n v="2"/>
    <n v="3"/>
    <x v="4"/>
    <n v="3"/>
    <s v="Single"/>
    <n v="10965"/>
    <n v="12066"/>
    <n v="8"/>
    <x v="1"/>
    <n v="24"/>
    <n v="4"/>
    <n v="3"/>
    <n v="0"/>
    <n v="26"/>
    <n v="2"/>
    <n v="3"/>
    <n v="5"/>
    <n v="2"/>
    <n v="0"/>
    <n v="0"/>
    <s v="40-49"/>
  </r>
  <r>
    <n v="51"/>
    <x v="1"/>
    <s v="Travel_Rarely"/>
    <n v="1178"/>
    <x v="0"/>
    <n v="14"/>
    <n v="2"/>
    <s v="Life Sciences"/>
    <n v="500"/>
    <n v="3"/>
    <s v="Female"/>
    <n v="87"/>
    <n v="3"/>
    <n v="2"/>
    <x v="0"/>
    <n v="4"/>
    <s v="Married"/>
    <n v="4936"/>
    <n v="14862"/>
    <n v="4"/>
    <x v="1"/>
    <n v="11"/>
    <n v="3"/>
    <n v="3"/>
    <n v="1"/>
    <n v="18"/>
    <n v="2"/>
    <n v="2"/>
    <n v="7"/>
    <n v="7"/>
    <n v="0"/>
    <n v="7"/>
    <s v="50+"/>
  </r>
  <r>
    <n v="36"/>
    <x v="1"/>
    <s v="Travel_Rarely"/>
    <n v="329"/>
    <x v="1"/>
    <n v="2"/>
    <n v="3"/>
    <s v="Life Sciences"/>
    <n v="501"/>
    <n v="4"/>
    <s v="Female"/>
    <n v="96"/>
    <n v="3"/>
    <n v="1"/>
    <x v="1"/>
    <n v="3"/>
    <s v="Married"/>
    <n v="2543"/>
    <n v="11868"/>
    <n v="4"/>
    <x v="1"/>
    <n v="13"/>
    <n v="3"/>
    <n v="2"/>
    <n v="1"/>
    <n v="6"/>
    <n v="3"/>
    <n v="3"/>
    <n v="2"/>
    <n v="2"/>
    <n v="2"/>
    <n v="2"/>
    <s v="30-39"/>
  </r>
  <r>
    <n v="34"/>
    <x v="0"/>
    <s v="Non-Travel"/>
    <n v="1362"/>
    <x v="0"/>
    <n v="19"/>
    <n v="3"/>
    <s v="Marketing"/>
    <n v="502"/>
    <n v="1"/>
    <s v="Male"/>
    <n v="67"/>
    <n v="4"/>
    <n v="2"/>
    <x v="0"/>
    <n v="4"/>
    <s v="Single"/>
    <n v="5304"/>
    <n v="4652"/>
    <n v="8"/>
    <x v="0"/>
    <n v="13"/>
    <n v="3"/>
    <n v="2"/>
    <n v="0"/>
    <n v="9"/>
    <n v="3"/>
    <n v="2"/>
    <n v="5"/>
    <n v="2"/>
    <n v="0"/>
    <n v="4"/>
    <s v="30-39"/>
  </r>
  <r>
    <n v="55"/>
    <x v="1"/>
    <s v="Travel_Rarely"/>
    <n v="1311"/>
    <x v="1"/>
    <n v="2"/>
    <n v="3"/>
    <s v="Life Sciences"/>
    <n v="505"/>
    <n v="3"/>
    <s v="Female"/>
    <n v="97"/>
    <n v="3"/>
    <n v="4"/>
    <x v="5"/>
    <n v="4"/>
    <s v="Single"/>
    <n v="16659"/>
    <n v="23258"/>
    <n v="2"/>
    <x v="0"/>
    <n v="13"/>
    <n v="3"/>
    <n v="3"/>
    <n v="0"/>
    <n v="30"/>
    <n v="2"/>
    <n v="3"/>
    <n v="5"/>
    <n v="4"/>
    <n v="1"/>
    <n v="2"/>
    <s v="50+"/>
  </r>
  <r>
    <n v="24"/>
    <x v="1"/>
    <s v="Travel_Rarely"/>
    <n v="1371"/>
    <x v="0"/>
    <n v="10"/>
    <n v="4"/>
    <s v="Marketing"/>
    <n v="507"/>
    <n v="4"/>
    <s v="Female"/>
    <n v="77"/>
    <n v="3"/>
    <n v="2"/>
    <x v="0"/>
    <n v="3"/>
    <s v="Divorced"/>
    <n v="4260"/>
    <n v="5915"/>
    <n v="1"/>
    <x v="0"/>
    <n v="12"/>
    <n v="3"/>
    <n v="4"/>
    <n v="1"/>
    <n v="5"/>
    <n v="2"/>
    <n v="4"/>
    <n v="5"/>
    <n v="2"/>
    <n v="0"/>
    <n v="3"/>
    <s v="Below 30"/>
  </r>
  <r>
    <n v="30"/>
    <x v="1"/>
    <s v="Travel_Rarely"/>
    <n v="202"/>
    <x v="0"/>
    <n v="2"/>
    <n v="1"/>
    <s v="Technical Degree"/>
    <n v="508"/>
    <n v="3"/>
    <s v="Male"/>
    <n v="72"/>
    <n v="3"/>
    <n v="1"/>
    <x v="6"/>
    <n v="2"/>
    <s v="Married"/>
    <n v="2476"/>
    <n v="17434"/>
    <n v="1"/>
    <x v="1"/>
    <n v="18"/>
    <n v="3"/>
    <n v="1"/>
    <n v="1"/>
    <n v="1"/>
    <n v="3"/>
    <n v="3"/>
    <n v="1"/>
    <n v="0"/>
    <n v="0"/>
    <n v="0"/>
    <s v="30-39"/>
  </r>
  <r>
    <n v="26"/>
    <x v="0"/>
    <s v="Travel_Frequently"/>
    <n v="575"/>
    <x v="1"/>
    <n v="3"/>
    <n v="1"/>
    <s v="Technical Degree"/>
    <n v="510"/>
    <n v="3"/>
    <s v="Male"/>
    <n v="73"/>
    <n v="3"/>
    <n v="1"/>
    <x v="1"/>
    <n v="1"/>
    <s v="Single"/>
    <n v="3102"/>
    <n v="6582"/>
    <n v="0"/>
    <x v="1"/>
    <n v="22"/>
    <n v="4"/>
    <n v="3"/>
    <n v="0"/>
    <n v="7"/>
    <n v="2"/>
    <n v="3"/>
    <n v="6"/>
    <n v="4"/>
    <n v="0"/>
    <n v="4"/>
    <s v="Below 30"/>
  </r>
  <r>
    <n v="22"/>
    <x v="1"/>
    <s v="Travel_Rarely"/>
    <n v="253"/>
    <x v="1"/>
    <n v="11"/>
    <n v="3"/>
    <s v="Medical"/>
    <n v="511"/>
    <n v="1"/>
    <s v="Female"/>
    <n v="43"/>
    <n v="3"/>
    <n v="1"/>
    <x v="1"/>
    <n v="2"/>
    <s v="Married"/>
    <n v="2244"/>
    <n v="24440"/>
    <n v="1"/>
    <x v="1"/>
    <n v="13"/>
    <n v="3"/>
    <n v="4"/>
    <n v="1"/>
    <n v="2"/>
    <n v="1"/>
    <n v="3"/>
    <n v="2"/>
    <n v="1"/>
    <n v="1"/>
    <n v="2"/>
    <s v="Below 30"/>
  </r>
  <r>
    <n v="36"/>
    <x v="1"/>
    <s v="Travel_Rarely"/>
    <n v="164"/>
    <x v="0"/>
    <n v="2"/>
    <n v="2"/>
    <s v="Medical"/>
    <n v="513"/>
    <n v="2"/>
    <s v="Male"/>
    <n v="61"/>
    <n v="2"/>
    <n v="3"/>
    <x v="0"/>
    <n v="3"/>
    <s v="Married"/>
    <n v="7596"/>
    <n v="3809"/>
    <n v="1"/>
    <x v="1"/>
    <n v="13"/>
    <n v="3"/>
    <n v="2"/>
    <n v="2"/>
    <n v="10"/>
    <n v="2"/>
    <n v="3"/>
    <n v="10"/>
    <n v="9"/>
    <n v="9"/>
    <n v="0"/>
    <s v="30-39"/>
  </r>
  <r>
    <n v="30"/>
    <x v="0"/>
    <s v="Travel_Frequently"/>
    <n v="464"/>
    <x v="1"/>
    <n v="4"/>
    <n v="3"/>
    <s v="Technical Degree"/>
    <n v="514"/>
    <n v="3"/>
    <s v="Male"/>
    <n v="40"/>
    <n v="3"/>
    <n v="1"/>
    <x v="1"/>
    <n v="4"/>
    <s v="Single"/>
    <n v="2285"/>
    <n v="3427"/>
    <n v="9"/>
    <x v="0"/>
    <n v="23"/>
    <n v="4"/>
    <n v="3"/>
    <n v="0"/>
    <n v="3"/>
    <n v="4"/>
    <n v="3"/>
    <n v="1"/>
    <n v="0"/>
    <n v="0"/>
    <n v="0"/>
    <s v="30-39"/>
  </r>
  <r>
    <n v="37"/>
    <x v="1"/>
    <s v="Travel_Rarely"/>
    <n v="1107"/>
    <x v="1"/>
    <n v="14"/>
    <n v="3"/>
    <s v="Life Sciences"/>
    <n v="515"/>
    <n v="4"/>
    <s v="Female"/>
    <n v="95"/>
    <n v="3"/>
    <n v="1"/>
    <x v="2"/>
    <n v="1"/>
    <s v="Divorced"/>
    <n v="3034"/>
    <n v="26914"/>
    <n v="1"/>
    <x v="1"/>
    <n v="12"/>
    <n v="3"/>
    <n v="3"/>
    <n v="1"/>
    <n v="18"/>
    <n v="2"/>
    <n v="2"/>
    <n v="18"/>
    <n v="7"/>
    <n v="12"/>
    <n v="17"/>
    <s v="30-39"/>
  </r>
  <r>
    <n v="40"/>
    <x v="1"/>
    <s v="Travel_Rarely"/>
    <n v="759"/>
    <x v="0"/>
    <n v="2"/>
    <n v="2"/>
    <s v="Marketing"/>
    <n v="516"/>
    <n v="4"/>
    <s v="Female"/>
    <n v="46"/>
    <n v="3"/>
    <n v="2"/>
    <x v="0"/>
    <n v="2"/>
    <s v="Divorced"/>
    <n v="5715"/>
    <n v="22553"/>
    <n v="7"/>
    <x v="1"/>
    <n v="12"/>
    <n v="3"/>
    <n v="3"/>
    <n v="2"/>
    <n v="8"/>
    <n v="5"/>
    <n v="3"/>
    <n v="5"/>
    <n v="4"/>
    <n v="1"/>
    <n v="3"/>
    <s v="40-49"/>
  </r>
  <r>
    <n v="42"/>
    <x v="1"/>
    <s v="Travel_Rarely"/>
    <n v="201"/>
    <x v="1"/>
    <n v="1"/>
    <n v="4"/>
    <s v="Life Sciences"/>
    <n v="517"/>
    <n v="2"/>
    <s v="Female"/>
    <n v="95"/>
    <n v="3"/>
    <n v="1"/>
    <x v="2"/>
    <n v="1"/>
    <s v="Divorced"/>
    <n v="2576"/>
    <n v="20490"/>
    <n v="3"/>
    <x v="1"/>
    <n v="16"/>
    <n v="3"/>
    <n v="2"/>
    <n v="1"/>
    <n v="8"/>
    <n v="5"/>
    <n v="3"/>
    <n v="5"/>
    <n v="2"/>
    <n v="1"/>
    <n v="2"/>
    <s v="40-49"/>
  </r>
  <r>
    <n v="37"/>
    <x v="1"/>
    <s v="Travel_Rarely"/>
    <n v="1305"/>
    <x v="1"/>
    <n v="10"/>
    <n v="4"/>
    <s v="Life Sciences"/>
    <n v="518"/>
    <n v="3"/>
    <s v="Male"/>
    <n v="49"/>
    <n v="3"/>
    <n v="2"/>
    <x v="3"/>
    <n v="2"/>
    <s v="Single"/>
    <n v="4197"/>
    <n v="21123"/>
    <n v="2"/>
    <x v="0"/>
    <n v="12"/>
    <n v="3"/>
    <n v="4"/>
    <n v="0"/>
    <n v="18"/>
    <n v="2"/>
    <n v="2"/>
    <n v="1"/>
    <n v="0"/>
    <n v="0"/>
    <n v="1"/>
    <s v="30-39"/>
  </r>
  <r>
    <n v="43"/>
    <x v="1"/>
    <s v="Travel_Rarely"/>
    <n v="982"/>
    <x v="1"/>
    <n v="12"/>
    <n v="3"/>
    <s v="Life Sciences"/>
    <n v="520"/>
    <n v="1"/>
    <s v="Male"/>
    <n v="59"/>
    <n v="2"/>
    <n v="4"/>
    <x v="7"/>
    <n v="2"/>
    <s v="Divorced"/>
    <n v="14336"/>
    <n v="4345"/>
    <n v="1"/>
    <x v="1"/>
    <n v="11"/>
    <n v="3"/>
    <n v="3"/>
    <n v="1"/>
    <n v="25"/>
    <n v="3"/>
    <n v="3"/>
    <n v="25"/>
    <n v="10"/>
    <n v="3"/>
    <n v="9"/>
    <s v="40-49"/>
  </r>
  <r>
    <n v="40"/>
    <x v="1"/>
    <s v="Travel_Rarely"/>
    <n v="555"/>
    <x v="1"/>
    <n v="2"/>
    <n v="3"/>
    <s v="Medical"/>
    <n v="521"/>
    <n v="2"/>
    <s v="Female"/>
    <n v="78"/>
    <n v="2"/>
    <n v="2"/>
    <x v="2"/>
    <n v="3"/>
    <s v="Married"/>
    <n v="3448"/>
    <n v="13436"/>
    <n v="6"/>
    <x v="1"/>
    <n v="22"/>
    <n v="4"/>
    <n v="2"/>
    <n v="1"/>
    <n v="20"/>
    <n v="3"/>
    <n v="3"/>
    <n v="1"/>
    <n v="0"/>
    <n v="0"/>
    <n v="0"/>
    <s v="40-49"/>
  </r>
  <r>
    <n v="54"/>
    <x v="1"/>
    <s v="Travel_Rarely"/>
    <n v="821"/>
    <x v="1"/>
    <n v="5"/>
    <n v="2"/>
    <s v="Medical"/>
    <n v="522"/>
    <n v="1"/>
    <s v="Male"/>
    <n v="86"/>
    <n v="3"/>
    <n v="5"/>
    <x v="7"/>
    <n v="1"/>
    <s v="Married"/>
    <n v="19406"/>
    <n v="8509"/>
    <n v="4"/>
    <x v="1"/>
    <n v="11"/>
    <n v="3"/>
    <n v="3"/>
    <n v="1"/>
    <n v="24"/>
    <n v="4"/>
    <n v="2"/>
    <n v="4"/>
    <n v="2"/>
    <n v="1"/>
    <n v="2"/>
    <s v="50+"/>
  </r>
  <r>
    <n v="34"/>
    <x v="1"/>
    <s v="Non-Travel"/>
    <n v="1381"/>
    <x v="0"/>
    <n v="4"/>
    <n v="4"/>
    <s v="Marketing"/>
    <n v="523"/>
    <n v="3"/>
    <s v="Female"/>
    <n v="72"/>
    <n v="3"/>
    <n v="2"/>
    <x v="0"/>
    <n v="3"/>
    <s v="Married"/>
    <n v="6538"/>
    <n v="12740"/>
    <n v="9"/>
    <x v="1"/>
    <n v="15"/>
    <n v="3"/>
    <n v="1"/>
    <n v="1"/>
    <n v="6"/>
    <n v="3"/>
    <n v="3"/>
    <n v="3"/>
    <n v="2"/>
    <n v="1"/>
    <n v="2"/>
    <s v="30-39"/>
  </r>
  <r>
    <n v="31"/>
    <x v="1"/>
    <s v="Travel_Rarely"/>
    <n v="480"/>
    <x v="1"/>
    <n v="7"/>
    <n v="2"/>
    <s v="Medical"/>
    <n v="524"/>
    <n v="2"/>
    <s v="Female"/>
    <n v="31"/>
    <n v="3"/>
    <n v="2"/>
    <x v="3"/>
    <n v="1"/>
    <s v="Married"/>
    <n v="4306"/>
    <n v="4156"/>
    <n v="1"/>
    <x v="1"/>
    <n v="12"/>
    <n v="3"/>
    <n v="2"/>
    <n v="1"/>
    <n v="13"/>
    <n v="5"/>
    <n v="1"/>
    <n v="13"/>
    <n v="10"/>
    <n v="3"/>
    <n v="12"/>
    <s v="30-39"/>
  </r>
  <r>
    <n v="43"/>
    <x v="1"/>
    <s v="Travel_Frequently"/>
    <n v="313"/>
    <x v="1"/>
    <n v="21"/>
    <n v="3"/>
    <s v="Medical"/>
    <n v="525"/>
    <n v="4"/>
    <s v="Male"/>
    <n v="61"/>
    <n v="3"/>
    <n v="1"/>
    <x v="2"/>
    <n v="4"/>
    <s v="Married"/>
    <n v="2258"/>
    <n v="15238"/>
    <n v="7"/>
    <x v="1"/>
    <n v="20"/>
    <n v="4"/>
    <n v="1"/>
    <n v="1"/>
    <n v="8"/>
    <n v="1"/>
    <n v="3"/>
    <n v="3"/>
    <n v="2"/>
    <n v="1"/>
    <n v="2"/>
    <s v="40-49"/>
  </r>
  <r>
    <n v="43"/>
    <x v="1"/>
    <s v="Travel_Rarely"/>
    <n v="1473"/>
    <x v="1"/>
    <n v="8"/>
    <n v="4"/>
    <s v="Other"/>
    <n v="526"/>
    <n v="3"/>
    <s v="Female"/>
    <n v="74"/>
    <n v="3"/>
    <n v="2"/>
    <x v="4"/>
    <n v="3"/>
    <s v="Divorced"/>
    <n v="4522"/>
    <n v="2227"/>
    <n v="4"/>
    <x v="0"/>
    <n v="14"/>
    <n v="3"/>
    <n v="4"/>
    <n v="0"/>
    <n v="8"/>
    <n v="3"/>
    <n v="3"/>
    <n v="5"/>
    <n v="2"/>
    <n v="0"/>
    <n v="2"/>
    <s v="40-49"/>
  </r>
  <r>
    <n v="25"/>
    <x v="1"/>
    <s v="Travel_Rarely"/>
    <n v="891"/>
    <x v="0"/>
    <n v="4"/>
    <n v="2"/>
    <s v="Life Sciences"/>
    <n v="527"/>
    <n v="2"/>
    <s v="Female"/>
    <n v="99"/>
    <n v="2"/>
    <n v="2"/>
    <x v="0"/>
    <n v="4"/>
    <s v="Single"/>
    <n v="4487"/>
    <n v="12090"/>
    <n v="1"/>
    <x v="0"/>
    <n v="11"/>
    <n v="3"/>
    <n v="2"/>
    <n v="0"/>
    <n v="5"/>
    <n v="3"/>
    <n v="3"/>
    <n v="5"/>
    <n v="4"/>
    <n v="1"/>
    <n v="3"/>
    <s v="Below 30"/>
  </r>
  <r>
    <n v="37"/>
    <x v="1"/>
    <s v="Non-Travel"/>
    <n v="1063"/>
    <x v="1"/>
    <n v="25"/>
    <n v="5"/>
    <s v="Medical"/>
    <n v="529"/>
    <n v="2"/>
    <s v="Female"/>
    <n v="72"/>
    <n v="3"/>
    <n v="2"/>
    <x v="1"/>
    <n v="3"/>
    <s v="Married"/>
    <n v="4449"/>
    <n v="23866"/>
    <n v="3"/>
    <x v="0"/>
    <n v="15"/>
    <n v="3"/>
    <n v="1"/>
    <n v="2"/>
    <n v="15"/>
    <n v="2"/>
    <n v="3"/>
    <n v="13"/>
    <n v="11"/>
    <n v="10"/>
    <n v="7"/>
    <s v="30-39"/>
  </r>
  <r>
    <n v="31"/>
    <x v="1"/>
    <s v="Travel_Rarely"/>
    <n v="329"/>
    <x v="1"/>
    <n v="1"/>
    <n v="2"/>
    <s v="Life Sciences"/>
    <n v="530"/>
    <n v="4"/>
    <s v="Male"/>
    <n v="98"/>
    <n v="2"/>
    <n v="1"/>
    <x v="2"/>
    <n v="1"/>
    <s v="Married"/>
    <n v="2218"/>
    <n v="16193"/>
    <n v="1"/>
    <x v="1"/>
    <n v="12"/>
    <n v="3"/>
    <n v="3"/>
    <n v="1"/>
    <n v="4"/>
    <n v="3"/>
    <n v="3"/>
    <n v="4"/>
    <n v="2"/>
    <n v="3"/>
    <n v="2"/>
    <s v="30-39"/>
  </r>
  <r>
    <n v="39"/>
    <x v="1"/>
    <s v="Travel_Frequently"/>
    <n v="1218"/>
    <x v="1"/>
    <n v="1"/>
    <n v="1"/>
    <s v="Life Sciences"/>
    <n v="531"/>
    <n v="2"/>
    <s v="Male"/>
    <n v="52"/>
    <n v="3"/>
    <n v="5"/>
    <x v="5"/>
    <n v="3"/>
    <s v="Divorced"/>
    <n v="19197"/>
    <n v="8213"/>
    <n v="1"/>
    <x v="0"/>
    <n v="14"/>
    <n v="3"/>
    <n v="3"/>
    <n v="1"/>
    <n v="21"/>
    <n v="3"/>
    <n v="3"/>
    <n v="21"/>
    <n v="8"/>
    <n v="1"/>
    <n v="6"/>
    <s v="30-39"/>
  </r>
  <r>
    <n v="56"/>
    <x v="1"/>
    <s v="Travel_Frequently"/>
    <n v="906"/>
    <x v="0"/>
    <n v="6"/>
    <n v="3"/>
    <s v="Life Sciences"/>
    <n v="532"/>
    <n v="3"/>
    <s v="Female"/>
    <n v="86"/>
    <n v="4"/>
    <n v="4"/>
    <x v="0"/>
    <n v="1"/>
    <s v="Married"/>
    <n v="13212"/>
    <n v="18256"/>
    <n v="9"/>
    <x v="1"/>
    <n v="11"/>
    <n v="3"/>
    <n v="4"/>
    <n v="3"/>
    <n v="36"/>
    <n v="0"/>
    <n v="2"/>
    <n v="7"/>
    <n v="7"/>
    <n v="7"/>
    <n v="7"/>
    <s v="50+"/>
  </r>
  <r>
    <n v="30"/>
    <x v="1"/>
    <s v="Travel_Rarely"/>
    <n v="1082"/>
    <x v="0"/>
    <n v="12"/>
    <n v="3"/>
    <s v="Technical Degree"/>
    <n v="533"/>
    <n v="2"/>
    <s v="Female"/>
    <n v="83"/>
    <n v="3"/>
    <n v="2"/>
    <x v="0"/>
    <n v="3"/>
    <s v="Single"/>
    <n v="6577"/>
    <n v="19558"/>
    <n v="0"/>
    <x v="1"/>
    <n v="11"/>
    <n v="3"/>
    <n v="2"/>
    <n v="0"/>
    <n v="6"/>
    <n v="6"/>
    <n v="3"/>
    <n v="5"/>
    <n v="4"/>
    <n v="4"/>
    <n v="4"/>
    <s v="30-39"/>
  </r>
  <r>
    <n v="41"/>
    <x v="1"/>
    <s v="Travel_Rarely"/>
    <n v="645"/>
    <x v="0"/>
    <n v="1"/>
    <n v="3"/>
    <s v="Marketing"/>
    <n v="534"/>
    <n v="2"/>
    <s v="Male"/>
    <n v="49"/>
    <n v="4"/>
    <n v="3"/>
    <x v="0"/>
    <n v="1"/>
    <s v="Married"/>
    <n v="8392"/>
    <n v="19566"/>
    <n v="1"/>
    <x v="1"/>
    <n v="16"/>
    <n v="3"/>
    <n v="3"/>
    <n v="1"/>
    <n v="10"/>
    <n v="2"/>
    <n v="3"/>
    <n v="10"/>
    <n v="7"/>
    <n v="0"/>
    <n v="7"/>
    <s v="40-49"/>
  </r>
  <r>
    <n v="28"/>
    <x v="1"/>
    <s v="Travel_Rarely"/>
    <n v="1300"/>
    <x v="1"/>
    <n v="17"/>
    <n v="2"/>
    <s v="Medical"/>
    <n v="536"/>
    <n v="3"/>
    <s v="Male"/>
    <n v="79"/>
    <n v="3"/>
    <n v="2"/>
    <x v="2"/>
    <n v="1"/>
    <s v="Divorced"/>
    <n v="4558"/>
    <n v="13535"/>
    <n v="1"/>
    <x v="1"/>
    <n v="12"/>
    <n v="3"/>
    <n v="4"/>
    <n v="1"/>
    <n v="10"/>
    <n v="2"/>
    <n v="3"/>
    <n v="10"/>
    <n v="0"/>
    <n v="1"/>
    <n v="8"/>
    <s v="Below 30"/>
  </r>
  <r>
    <n v="25"/>
    <x v="0"/>
    <s v="Travel_Rarely"/>
    <n v="688"/>
    <x v="1"/>
    <n v="3"/>
    <n v="3"/>
    <s v="Medical"/>
    <n v="538"/>
    <n v="1"/>
    <s v="Male"/>
    <n v="91"/>
    <n v="3"/>
    <n v="1"/>
    <x v="2"/>
    <n v="1"/>
    <s v="Married"/>
    <n v="4031"/>
    <n v="9396"/>
    <n v="5"/>
    <x v="1"/>
    <n v="13"/>
    <n v="3"/>
    <n v="3"/>
    <n v="1"/>
    <n v="6"/>
    <n v="5"/>
    <n v="3"/>
    <n v="2"/>
    <n v="2"/>
    <n v="0"/>
    <n v="2"/>
    <s v="Below 30"/>
  </r>
  <r>
    <n v="52"/>
    <x v="1"/>
    <s v="Travel_Rarely"/>
    <n v="319"/>
    <x v="1"/>
    <n v="3"/>
    <n v="3"/>
    <s v="Medical"/>
    <n v="543"/>
    <n v="4"/>
    <s v="Male"/>
    <n v="39"/>
    <n v="2"/>
    <n v="3"/>
    <x v="3"/>
    <n v="3"/>
    <s v="Married"/>
    <n v="7969"/>
    <n v="19609"/>
    <n v="2"/>
    <x v="0"/>
    <n v="14"/>
    <n v="3"/>
    <n v="3"/>
    <n v="0"/>
    <n v="28"/>
    <n v="4"/>
    <n v="3"/>
    <n v="5"/>
    <n v="4"/>
    <n v="0"/>
    <n v="4"/>
    <s v="50+"/>
  </r>
  <r>
    <n v="45"/>
    <x v="1"/>
    <s v="Travel_Rarely"/>
    <n v="192"/>
    <x v="1"/>
    <n v="10"/>
    <n v="2"/>
    <s v="Life Sciences"/>
    <n v="544"/>
    <n v="1"/>
    <s v="Male"/>
    <n v="69"/>
    <n v="3"/>
    <n v="1"/>
    <x v="1"/>
    <n v="4"/>
    <s v="Married"/>
    <n v="2654"/>
    <n v="9655"/>
    <n v="3"/>
    <x v="1"/>
    <n v="21"/>
    <n v="4"/>
    <n v="4"/>
    <n v="2"/>
    <n v="8"/>
    <n v="3"/>
    <n v="2"/>
    <n v="2"/>
    <n v="2"/>
    <n v="0"/>
    <n v="2"/>
    <s v="40-49"/>
  </r>
  <r>
    <n v="52"/>
    <x v="1"/>
    <s v="Travel_Rarely"/>
    <n v="1490"/>
    <x v="1"/>
    <n v="4"/>
    <n v="2"/>
    <s v="Life Sciences"/>
    <n v="546"/>
    <n v="4"/>
    <s v="Female"/>
    <n v="30"/>
    <n v="3"/>
    <n v="4"/>
    <x v="5"/>
    <n v="4"/>
    <s v="Married"/>
    <n v="16555"/>
    <n v="10310"/>
    <n v="2"/>
    <x v="1"/>
    <n v="13"/>
    <n v="3"/>
    <n v="4"/>
    <n v="0"/>
    <n v="31"/>
    <n v="2"/>
    <n v="1"/>
    <n v="5"/>
    <n v="2"/>
    <n v="1"/>
    <n v="4"/>
    <s v="50+"/>
  </r>
  <r>
    <n v="42"/>
    <x v="1"/>
    <s v="Travel_Frequently"/>
    <n v="532"/>
    <x v="1"/>
    <n v="29"/>
    <n v="2"/>
    <s v="Life Sciences"/>
    <n v="547"/>
    <n v="1"/>
    <s v="Female"/>
    <n v="92"/>
    <n v="3"/>
    <n v="2"/>
    <x v="1"/>
    <n v="3"/>
    <s v="Divorced"/>
    <n v="4556"/>
    <n v="12932"/>
    <n v="2"/>
    <x v="1"/>
    <n v="11"/>
    <n v="3"/>
    <n v="2"/>
    <n v="1"/>
    <n v="19"/>
    <n v="3"/>
    <n v="3"/>
    <n v="5"/>
    <n v="4"/>
    <n v="0"/>
    <n v="2"/>
    <s v="40-49"/>
  </r>
  <r>
    <n v="30"/>
    <x v="1"/>
    <s v="Travel_Rarely"/>
    <n v="317"/>
    <x v="1"/>
    <n v="2"/>
    <n v="3"/>
    <s v="Life Sciences"/>
    <n v="548"/>
    <n v="3"/>
    <s v="Female"/>
    <n v="43"/>
    <n v="1"/>
    <n v="2"/>
    <x v="3"/>
    <n v="4"/>
    <s v="Single"/>
    <n v="6091"/>
    <n v="24793"/>
    <n v="2"/>
    <x v="1"/>
    <n v="20"/>
    <n v="4"/>
    <n v="3"/>
    <n v="0"/>
    <n v="11"/>
    <n v="2"/>
    <n v="3"/>
    <n v="5"/>
    <n v="4"/>
    <n v="0"/>
    <n v="2"/>
    <s v="30-39"/>
  </r>
  <r>
    <n v="60"/>
    <x v="1"/>
    <s v="Travel_Rarely"/>
    <n v="422"/>
    <x v="1"/>
    <n v="7"/>
    <n v="3"/>
    <s v="Life Sciences"/>
    <n v="549"/>
    <n v="1"/>
    <s v="Female"/>
    <n v="41"/>
    <n v="3"/>
    <n v="5"/>
    <x v="5"/>
    <n v="1"/>
    <s v="Married"/>
    <n v="19566"/>
    <n v="3854"/>
    <n v="5"/>
    <x v="1"/>
    <n v="11"/>
    <n v="3"/>
    <n v="4"/>
    <n v="0"/>
    <n v="33"/>
    <n v="5"/>
    <n v="1"/>
    <n v="29"/>
    <n v="8"/>
    <n v="11"/>
    <n v="10"/>
    <s v="50+"/>
  </r>
  <r>
    <n v="46"/>
    <x v="1"/>
    <s v="Travel_Rarely"/>
    <n v="1485"/>
    <x v="1"/>
    <n v="18"/>
    <n v="3"/>
    <s v="Medical"/>
    <n v="550"/>
    <n v="3"/>
    <s v="Female"/>
    <n v="87"/>
    <n v="3"/>
    <n v="2"/>
    <x v="3"/>
    <n v="3"/>
    <s v="Divorced"/>
    <n v="4810"/>
    <n v="26314"/>
    <n v="2"/>
    <x v="1"/>
    <n v="14"/>
    <n v="3"/>
    <n v="3"/>
    <n v="1"/>
    <n v="19"/>
    <n v="5"/>
    <n v="2"/>
    <n v="10"/>
    <n v="7"/>
    <n v="0"/>
    <n v="8"/>
    <s v="40-49"/>
  </r>
  <r>
    <n v="42"/>
    <x v="1"/>
    <s v="Travel_Frequently"/>
    <n v="1368"/>
    <x v="1"/>
    <n v="28"/>
    <n v="4"/>
    <s v="Technical Degree"/>
    <n v="551"/>
    <n v="4"/>
    <s v="Female"/>
    <n v="88"/>
    <n v="2"/>
    <n v="2"/>
    <x v="4"/>
    <n v="4"/>
    <s v="Married"/>
    <n v="4523"/>
    <n v="4386"/>
    <n v="0"/>
    <x v="1"/>
    <n v="11"/>
    <n v="3"/>
    <n v="4"/>
    <n v="3"/>
    <n v="7"/>
    <n v="4"/>
    <n v="4"/>
    <n v="6"/>
    <n v="5"/>
    <n v="0"/>
    <n v="4"/>
    <s v="40-49"/>
  </r>
  <r>
    <n v="24"/>
    <x v="0"/>
    <s v="Travel_Rarely"/>
    <n v="1448"/>
    <x v="0"/>
    <n v="1"/>
    <n v="1"/>
    <s v="Technical Degree"/>
    <n v="554"/>
    <n v="1"/>
    <s v="Female"/>
    <n v="62"/>
    <n v="3"/>
    <n v="1"/>
    <x v="6"/>
    <n v="2"/>
    <s v="Single"/>
    <n v="3202"/>
    <n v="21972"/>
    <n v="1"/>
    <x v="0"/>
    <n v="16"/>
    <n v="3"/>
    <n v="2"/>
    <n v="0"/>
    <n v="6"/>
    <n v="4"/>
    <n v="3"/>
    <n v="5"/>
    <n v="3"/>
    <n v="1"/>
    <n v="4"/>
    <s v="Below 30"/>
  </r>
  <r>
    <n v="34"/>
    <x v="0"/>
    <s v="Travel_Frequently"/>
    <n v="296"/>
    <x v="0"/>
    <n v="6"/>
    <n v="2"/>
    <s v="Marketing"/>
    <n v="555"/>
    <n v="4"/>
    <s v="Female"/>
    <n v="33"/>
    <n v="1"/>
    <n v="1"/>
    <x v="6"/>
    <n v="3"/>
    <s v="Divorced"/>
    <n v="2351"/>
    <n v="12253"/>
    <n v="0"/>
    <x v="1"/>
    <n v="16"/>
    <n v="3"/>
    <n v="4"/>
    <n v="1"/>
    <n v="3"/>
    <n v="3"/>
    <n v="2"/>
    <n v="2"/>
    <n v="2"/>
    <n v="1"/>
    <n v="0"/>
    <s v="30-39"/>
  </r>
  <r>
    <n v="38"/>
    <x v="1"/>
    <s v="Travel_Frequently"/>
    <n v="1490"/>
    <x v="1"/>
    <n v="2"/>
    <n v="2"/>
    <s v="Life Sciences"/>
    <n v="556"/>
    <n v="4"/>
    <s v="Male"/>
    <n v="42"/>
    <n v="3"/>
    <n v="1"/>
    <x v="2"/>
    <n v="4"/>
    <s v="Married"/>
    <n v="1702"/>
    <n v="12106"/>
    <n v="1"/>
    <x v="0"/>
    <n v="23"/>
    <n v="4"/>
    <n v="3"/>
    <n v="1"/>
    <n v="1"/>
    <n v="3"/>
    <n v="3"/>
    <n v="1"/>
    <n v="0"/>
    <n v="0"/>
    <n v="0"/>
    <s v="30-39"/>
  </r>
  <r>
    <n v="40"/>
    <x v="1"/>
    <s v="Travel_Rarely"/>
    <n v="1398"/>
    <x v="0"/>
    <n v="2"/>
    <n v="4"/>
    <s v="Life Sciences"/>
    <n v="558"/>
    <n v="3"/>
    <s v="Female"/>
    <n v="79"/>
    <n v="3"/>
    <n v="5"/>
    <x v="5"/>
    <n v="3"/>
    <s v="Married"/>
    <n v="18041"/>
    <n v="13022"/>
    <n v="0"/>
    <x v="1"/>
    <n v="14"/>
    <n v="3"/>
    <n v="4"/>
    <n v="0"/>
    <n v="21"/>
    <n v="2"/>
    <n v="3"/>
    <n v="20"/>
    <n v="15"/>
    <n v="1"/>
    <n v="12"/>
    <s v="40-49"/>
  </r>
  <r>
    <n v="26"/>
    <x v="1"/>
    <s v="Travel_Rarely"/>
    <n v="1349"/>
    <x v="1"/>
    <n v="23"/>
    <n v="3"/>
    <s v="Life Sciences"/>
    <n v="560"/>
    <n v="1"/>
    <s v="Female"/>
    <n v="90"/>
    <n v="3"/>
    <n v="1"/>
    <x v="1"/>
    <n v="4"/>
    <s v="Divorced"/>
    <n v="2886"/>
    <n v="3032"/>
    <n v="1"/>
    <x v="1"/>
    <n v="22"/>
    <n v="4"/>
    <n v="2"/>
    <n v="2"/>
    <n v="3"/>
    <n v="3"/>
    <n v="1"/>
    <n v="3"/>
    <n v="2"/>
    <n v="0"/>
    <n v="2"/>
    <s v="Below 30"/>
  </r>
  <r>
    <n v="30"/>
    <x v="1"/>
    <s v="Non-Travel"/>
    <n v="1400"/>
    <x v="1"/>
    <n v="3"/>
    <n v="3"/>
    <s v="Life Sciences"/>
    <n v="562"/>
    <n v="3"/>
    <s v="Male"/>
    <n v="53"/>
    <n v="3"/>
    <n v="1"/>
    <x v="2"/>
    <n v="4"/>
    <s v="Married"/>
    <n v="2097"/>
    <n v="16734"/>
    <n v="4"/>
    <x v="1"/>
    <n v="15"/>
    <n v="3"/>
    <n v="3"/>
    <n v="1"/>
    <n v="9"/>
    <n v="3"/>
    <n v="1"/>
    <n v="5"/>
    <n v="3"/>
    <n v="1"/>
    <n v="4"/>
    <s v="30-39"/>
  </r>
  <r>
    <n v="29"/>
    <x v="1"/>
    <s v="Travel_Rarely"/>
    <n v="986"/>
    <x v="1"/>
    <n v="3"/>
    <n v="4"/>
    <s v="Medical"/>
    <n v="564"/>
    <n v="2"/>
    <s v="Male"/>
    <n v="93"/>
    <n v="2"/>
    <n v="3"/>
    <x v="7"/>
    <n v="3"/>
    <s v="Married"/>
    <n v="11935"/>
    <n v="21526"/>
    <n v="1"/>
    <x v="1"/>
    <n v="18"/>
    <n v="3"/>
    <n v="3"/>
    <n v="0"/>
    <n v="10"/>
    <n v="2"/>
    <n v="3"/>
    <n v="10"/>
    <n v="2"/>
    <n v="0"/>
    <n v="7"/>
    <s v="Below 30"/>
  </r>
  <r>
    <n v="29"/>
    <x v="0"/>
    <s v="Travel_Rarely"/>
    <n v="408"/>
    <x v="1"/>
    <n v="25"/>
    <n v="5"/>
    <s v="Technical Degree"/>
    <n v="565"/>
    <n v="3"/>
    <s v="Female"/>
    <n v="71"/>
    <n v="2"/>
    <n v="1"/>
    <x v="1"/>
    <n v="2"/>
    <s v="Married"/>
    <n v="2546"/>
    <n v="18300"/>
    <n v="5"/>
    <x v="1"/>
    <n v="16"/>
    <n v="3"/>
    <n v="2"/>
    <n v="0"/>
    <n v="6"/>
    <n v="2"/>
    <n v="4"/>
    <n v="2"/>
    <n v="2"/>
    <n v="1"/>
    <n v="1"/>
    <s v="Below 30"/>
  </r>
  <r>
    <n v="19"/>
    <x v="0"/>
    <s v="Travel_Rarely"/>
    <n v="489"/>
    <x v="2"/>
    <n v="2"/>
    <n v="2"/>
    <s v="Technical Degree"/>
    <n v="566"/>
    <n v="1"/>
    <s v="Male"/>
    <n v="52"/>
    <n v="2"/>
    <n v="1"/>
    <x v="8"/>
    <n v="4"/>
    <s v="Single"/>
    <n v="2564"/>
    <n v="18437"/>
    <n v="1"/>
    <x v="1"/>
    <n v="12"/>
    <n v="3"/>
    <n v="3"/>
    <n v="0"/>
    <n v="1"/>
    <n v="3"/>
    <n v="4"/>
    <n v="1"/>
    <n v="0"/>
    <n v="0"/>
    <n v="0"/>
    <s v="Below 30"/>
  </r>
  <r>
    <n v="30"/>
    <x v="1"/>
    <s v="Non-Travel"/>
    <n v="1398"/>
    <x v="0"/>
    <n v="22"/>
    <n v="4"/>
    <s v="Other"/>
    <n v="567"/>
    <n v="3"/>
    <s v="Female"/>
    <n v="69"/>
    <n v="3"/>
    <n v="3"/>
    <x v="0"/>
    <n v="1"/>
    <s v="Married"/>
    <n v="8412"/>
    <n v="2890"/>
    <n v="0"/>
    <x v="1"/>
    <n v="11"/>
    <n v="3"/>
    <n v="3"/>
    <n v="0"/>
    <n v="10"/>
    <n v="3"/>
    <n v="3"/>
    <n v="9"/>
    <n v="8"/>
    <n v="7"/>
    <n v="8"/>
    <s v="30-39"/>
  </r>
  <r>
    <n v="57"/>
    <x v="1"/>
    <s v="Travel_Rarely"/>
    <n v="210"/>
    <x v="0"/>
    <n v="29"/>
    <n v="3"/>
    <s v="Marketing"/>
    <n v="568"/>
    <n v="1"/>
    <s v="Male"/>
    <n v="56"/>
    <n v="2"/>
    <n v="4"/>
    <x v="5"/>
    <n v="4"/>
    <s v="Divorced"/>
    <n v="14118"/>
    <n v="22102"/>
    <n v="3"/>
    <x v="1"/>
    <n v="12"/>
    <n v="3"/>
    <n v="3"/>
    <n v="1"/>
    <n v="32"/>
    <n v="3"/>
    <n v="2"/>
    <n v="1"/>
    <n v="0"/>
    <n v="0"/>
    <n v="0"/>
    <s v="50+"/>
  </r>
  <r>
    <n v="50"/>
    <x v="1"/>
    <s v="Travel_Rarely"/>
    <n v="1099"/>
    <x v="1"/>
    <n v="29"/>
    <n v="4"/>
    <s v="Life Sciences"/>
    <n v="569"/>
    <n v="2"/>
    <s v="Male"/>
    <n v="88"/>
    <n v="2"/>
    <n v="4"/>
    <x v="5"/>
    <n v="3"/>
    <s v="Married"/>
    <n v="17046"/>
    <n v="9314"/>
    <n v="0"/>
    <x v="1"/>
    <n v="15"/>
    <n v="3"/>
    <n v="2"/>
    <n v="1"/>
    <n v="28"/>
    <n v="2"/>
    <n v="3"/>
    <n v="27"/>
    <n v="10"/>
    <n v="15"/>
    <n v="7"/>
    <s v="50+"/>
  </r>
  <r>
    <n v="30"/>
    <x v="1"/>
    <s v="Non-Travel"/>
    <n v="1116"/>
    <x v="1"/>
    <n v="2"/>
    <n v="3"/>
    <s v="Medical"/>
    <n v="571"/>
    <n v="3"/>
    <s v="Female"/>
    <n v="49"/>
    <n v="3"/>
    <n v="1"/>
    <x v="2"/>
    <n v="4"/>
    <s v="Single"/>
    <n v="2564"/>
    <n v="7181"/>
    <n v="0"/>
    <x v="1"/>
    <n v="14"/>
    <n v="3"/>
    <n v="3"/>
    <n v="0"/>
    <n v="12"/>
    <n v="2"/>
    <n v="2"/>
    <n v="11"/>
    <n v="7"/>
    <n v="6"/>
    <n v="7"/>
    <s v="30-39"/>
  </r>
  <r>
    <n v="60"/>
    <x v="1"/>
    <s v="Travel_Frequently"/>
    <n v="1499"/>
    <x v="0"/>
    <n v="28"/>
    <n v="3"/>
    <s v="Marketing"/>
    <n v="573"/>
    <n v="3"/>
    <s v="Female"/>
    <n v="80"/>
    <n v="2"/>
    <n v="3"/>
    <x v="0"/>
    <n v="1"/>
    <s v="Married"/>
    <n v="10266"/>
    <n v="2845"/>
    <n v="4"/>
    <x v="1"/>
    <n v="19"/>
    <n v="3"/>
    <n v="4"/>
    <n v="0"/>
    <n v="22"/>
    <n v="5"/>
    <n v="4"/>
    <n v="18"/>
    <n v="13"/>
    <n v="13"/>
    <n v="11"/>
    <s v="50+"/>
  </r>
  <r>
    <n v="47"/>
    <x v="1"/>
    <s v="Travel_Rarely"/>
    <n v="983"/>
    <x v="1"/>
    <n v="2"/>
    <n v="2"/>
    <s v="Medical"/>
    <n v="574"/>
    <n v="1"/>
    <s v="Female"/>
    <n v="65"/>
    <n v="3"/>
    <n v="2"/>
    <x v="3"/>
    <n v="4"/>
    <s v="Divorced"/>
    <n v="5070"/>
    <n v="7389"/>
    <n v="5"/>
    <x v="1"/>
    <n v="13"/>
    <n v="3"/>
    <n v="3"/>
    <n v="3"/>
    <n v="20"/>
    <n v="2"/>
    <n v="3"/>
    <n v="5"/>
    <n v="0"/>
    <n v="0"/>
    <n v="4"/>
    <s v="40-49"/>
  </r>
  <r>
    <n v="46"/>
    <x v="1"/>
    <s v="Travel_Rarely"/>
    <n v="1009"/>
    <x v="1"/>
    <n v="2"/>
    <n v="3"/>
    <s v="Life Sciences"/>
    <n v="575"/>
    <n v="1"/>
    <s v="Male"/>
    <n v="51"/>
    <n v="3"/>
    <n v="4"/>
    <x v="7"/>
    <n v="3"/>
    <s v="Married"/>
    <n v="17861"/>
    <n v="2288"/>
    <n v="6"/>
    <x v="1"/>
    <n v="13"/>
    <n v="3"/>
    <n v="3"/>
    <n v="0"/>
    <n v="26"/>
    <n v="2"/>
    <n v="1"/>
    <n v="3"/>
    <n v="2"/>
    <n v="0"/>
    <n v="1"/>
    <s v="40-49"/>
  </r>
  <r>
    <n v="35"/>
    <x v="1"/>
    <s v="Travel_Rarely"/>
    <n v="144"/>
    <x v="1"/>
    <n v="22"/>
    <n v="3"/>
    <s v="Life Sciences"/>
    <n v="577"/>
    <n v="4"/>
    <s v="Male"/>
    <n v="46"/>
    <n v="1"/>
    <n v="1"/>
    <x v="2"/>
    <n v="3"/>
    <s v="Single"/>
    <n v="4230"/>
    <n v="19225"/>
    <n v="0"/>
    <x v="1"/>
    <n v="15"/>
    <n v="3"/>
    <n v="3"/>
    <n v="0"/>
    <n v="6"/>
    <n v="2"/>
    <n v="3"/>
    <n v="5"/>
    <n v="4"/>
    <n v="4"/>
    <n v="3"/>
    <s v="30-39"/>
  </r>
  <r>
    <n v="54"/>
    <x v="1"/>
    <s v="Travel_Rarely"/>
    <n v="548"/>
    <x v="1"/>
    <n v="8"/>
    <n v="4"/>
    <s v="Life Sciences"/>
    <n v="578"/>
    <n v="3"/>
    <s v="Female"/>
    <n v="42"/>
    <n v="3"/>
    <n v="2"/>
    <x v="2"/>
    <n v="3"/>
    <s v="Single"/>
    <n v="3780"/>
    <n v="23428"/>
    <n v="7"/>
    <x v="1"/>
    <n v="11"/>
    <n v="3"/>
    <n v="3"/>
    <n v="0"/>
    <n v="19"/>
    <n v="3"/>
    <n v="3"/>
    <n v="1"/>
    <n v="0"/>
    <n v="0"/>
    <n v="0"/>
    <s v="50+"/>
  </r>
  <r>
    <n v="34"/>
    <x v="1"/>
    <s v="Travel_Rarely"/>
    <n v="1303"/>
    <x v="1"/>
    <n v="2"/>
    <n v="4"/>
    <s v="Life Sciences"/>
    <n v="579"/>
    <n v="4"/>
    <s v="Male"/>
    <n v="62"/>
    <n v="2"/>
    <n v="1"/>
    <x v="1"/>
    <n v="3"/>
    <s v="Divorced"/>
    <n v="2768"/>
    <n v="8416"/>
    <n v="3"/>
    <x v="1"/>
    <n v="12"/>
    <n v="3"/>
    <n v="3"/>
    <n v="1"/>
    <n v="14"/>
    <n v="3"/>
    <n v="3"/>
    <n v="7"/>
    <n v="3"/>
    <n v="5"/>
    <n v="7"/>
    <s v="30-39"/>
  </r>
  <r>
    <n v="46"/>
    <x v="1"/>
    <s v="Travel_Rarely"/>
    <n v="1125"/>
    <x v="0"/>
    <n v="10"/>
    <n v="3"/>
    <s v="Marketing"/>
    <n v="580"/>
    <n v="3"/>
    <s v="Female"/>
    <n v="94"/>
    <n v="2"/>
    <n v="3"/>
    <x v="0"/>
    <n v="4"/>
    <s v="Married"/>
    <n v="9071"/>
    <n v="11563"/>
    <n v="2"/>
    <x v="0"/>
    <n v="19"/>
    <n v="3"/>
    <n v="3"/>
    <n v="1"/>
    <n v="15"/>
    <n v="3"/>
    <n v="3"/>
    <n v="3"/>
    <n v="2"/>
    <n v="1"/>
    <n v="2"/>
    <s v="40-49"/>
  </r>
  <r>
    <n v="31"/>
    <x v="1"/>
    <s v="Travel_Rarely"/>
    <n v="1274"/>
    <x v="1"/>
    <n v="9"/>
    <n v="1"/>
    <s v="Life Sciences"/>
    <n v="581"/>
    <n v="3"/>
    <s v="Male"/>
    <n v="33"/>
    <n v="3"/>
    <n v="3"/>
    <x v="3"/>
    <n v="2"/>
    <s v="Divorced"/>
    <n v="10648"/>
    <n v="14394"/>
    <n v="1"/>
    <x v="1"/>
    <n v="25"/>
    <n v="4"/>
    <n v="4"/>
    <n v="1"/>
    <n v="13"/>
    <n v="6"/>
    <n v="4"/>
    <n v="13"/>
    <n v="8"/>
    <n v="0"/>
    <n v="8"/>
    <s v="30-39"/>
  </r>
  <r>
    <n v="33"/>
    <x v="0"/>
    <s v="Travel_Rarely"/>
    <n v="1277"/>
    <x v="1"/>
    <n v="15"/>
    <n v="1"/>
    <s v="Medical"/>
    <n v="582"/>
    <n v="2"/>
    <s v="Male"/>
    <n v="56"/>
    <n v="3"/>
    <n v="3"/>
    <x v="5"/>
    <n v="3"/>
    <s v="Married"/>
    <n v="13610"/>
    <n v="24619"/>
    <n v="7"/>
    <x v="0"/>
    <n v="12"/>
    <n v="3"/>
    <n v="4"/>
    <n v="0"/>
    <n v="15"/>
    <n v="2"/>
    <n v="4"/>
    <n v="7"/>
    <n v="6"/>
    <n v="7"/>
    <n v="7"/>
    <s v="30-39"/>
  </r>
  <r>
    <n v="33"/>
    <x v="0"/>
    <s v="Travel_Rarely"/>
    <n v="587"/>
    <x v="1"/>
    <n v="10"/>
    <n v="1"/>
    <s v="Medical"/>
    <n v="584"/>
    <n v="1"/>
    <s v="Male"/>
    <n v="38"/>
    <n v="1"/>
    <n v="1"/>
    <x v="2"/>
    <n v="4"/>
    <s v="Divorced"/>
    <n v="3408"/>
    <n v="6705"/>
    <n v="7"/>
    <x v="1"/>
    <n v="13"/>
    <n v="3"/>
    <n v="1"/>
    <n v="3"/>
    <n v="8"/>
    <n v="2"/>
    <n v="3"/>
    <n v="4"/>
    <n v="3"/>
    <n v="1"/>
    <n v="3"/>
    <s v="30-39"/>
  </r>
  <r>
    <n v="30"/>
    <x v="1"/>
    <s v="Travel_Rarely"/>
    <n v="413"/>
    <x v="0"/>
    <n v="7"/>
    <n v="1"/>
    <s v="Marketing"/>
    <n v="585"/>
    <n v="4"/>
    <s v="Male"/>
    <n v="57"/>
    <n v="3"/>
    <n v="1"/>
    <x v="6"/>
    <n v="2"/>
    <s v="Single"/>
    <n v="2983"/>
    <n v="18398"/>
    <n v="0"/>
    <x v="1"/>
    <n v="14"/>
    <n v="3"/>
    <n v="1"/>
    <n v="0"/>
    <n v="4"/>
    <n v="3"/>
    <n v="3"/>
    <n v="3"/>
    <n v="2"/>
    <n v="1"/>
    <n v="2"/>
    <s v="30-39"/>
  </r>
  <r>
    <n v="35"/>
    <x v="1"/>
    <s v="Travel_Rarely"/>
    <n v="1276"/>
    <x v="1"/>
    <n v="16"/>
    <n v="3"/>
    <s v="Life Sciences"/>
    <n v="586"/>
    <n v="4"/>
    <s v="Male"/>
    <n v="72"/>
    <n v="3"/>
    <n v="3"/>
    <x v="4"/>
    <n v="3"/>
    <s v="Married"/>
    <n v="7632"/>
    <n v="14295"/>
    <n v="4"/>
    <x v="0"/>
    <n v="12"/>
    <n v="3"/>
    <n v="3"/>
    <n v="0"/>
    <n v="10"/>
    <n v="2"/>
    <n v="3"/>
    <n v="8"/>
    <n v="7"/>
    <n v="0"/>
    <n v="0"/>
    <s v="30-39"/>
  </r>
  <r>
    <n v="31"/>
    <x v="0"/>
    <s v="Travel_Frequently"/>
    <n v="534"/>
    <x v="1"/>
    <n v="20"/>
    <n v="3"/>
    <s v="Life Sciences"/>
    <n v="587"/>
    <n v="1"/>
    <s v="Male"/>
    <n v="66"/>
    <n v="3"/>
    <n v="3"/>
    <x v="4"/>
    <n v="3"/>
    <s v="Married"/>
    <n v="9824"/>
    <n v="22908"/>
    <n v="3"/>
    <x v="1"/>
    <n v="12"/>
    <n v="3"/>
    <n v="1"/>
    <n v="0"/>
    <n v="12"/>
    <n v="2"/>
    <n v="3"/>
    <n v="1"/>
    <n v="0"/>
    <n v="0"/>
    <n v="0"/>
    <s v="30-39"/>
  </r>
  <r>
    <n v="34"/>
    <x v="0"/>
    <s v="Travel_Frequently"/>
    <n v="988"/>
    <x v="2"/>
    <n v="23"/>
    <n v="3"/>
    <s v="Human Resources"/>
    <n v="590"/>
    <n v="2"/>
    <s v="Female"/>
    <n v="43"/>
    <n v="3"/>
    <n v="3"/>
    <x v="8"/>
    <n v="1"/>
    <s v="Divorced"/>
    <n v="9950"/>
    <n v="11533"/>
    <n v="9"/>
    <x v="0"/>
    <n v="15"/>
    <n v="3"/>
    <n v="3"/>
    <n v="3"/>
    <n v="11"/>
    <n v="2"/>
    <n v="3"/>
    <n v="3"/>
    <n v="2"/>
    <n v="0"/>
    <n v="2"/>
    <s v="30-39"/>
  </r>
  <r>
    <n v="42"/>
    <x v="1"/>
    <s v="Travel_Frequently"/>
    <n v="1474"/>
    <x v="1"/>
    <n v="5"/>
    <n v="2"/>
    <s v="Other"/>
    <n v="591"/>
    <n v="2"/>
    <s v="Male"/>
    <n v="97"/>
    <n v="3"/>
    <n v="1"/>
    <x v="2"/>
    <n v="3"/>
    <s v="Married"/>
    <n v="2093"/>
    <n v="9260"/>
    <n v="4"/>
    <x v="1"/>
    <n v="17"/>
    <n v="3"/>
    <n v="4"/>
    <n v="1"/>
    <n v="8"/>
    <n v="4"/>
    <n v="3"/>
    <n v="2"/>
    <n v="2"/>
    <n v="2"/>
    <n v="0"/>
    <s v="40-49"/>
  </r>
  <r>
    <n v="36"/>
    <x v="1"/>
    <s v="Non-Travel"/>
    <n v="635"/>
    <x v="0"/>
    <n v="10"/>
    <n v="4"/>
    <s v="Medical"/>
    <n v="592"/>
    <n v="2"/>
    <s v="Male"/>
    <n v="32"/>
    <n v="3"/>
    <n v="3"/>
    <x v="0"/>
    <n v="4"/>
    <s v="Single"/>
    <n v="9980"/>
    <n v="15318"/>
    <n v="1"/>
    <x v="1"/>
    <n v="14"/>
    <n v="3"/>
    <n v="4"/>
    <n v="0"/>
    <n v="10"/>
    <n v="3"/>
    <n v="2"/>
    <n v="10"/>
    <n v="3"/>
    <n v="9"/>
    <n v="7"/>
    <s v="30-39"/>
  </r>
  <r>
    <n v="22"/>
    <x v="0"/>
    <s v="Travel_Frequently"/>
    <n v="1368"/>
    <x v="1"/>
    <n v="4"/>
    <n v="1"/>
    <s v="Technical Degree"/>
    <n v="593"/>
    <n v="3"/>
    <s v="Male"/>
    <n v="99"/>
    <n v="2"/>
    <n v="1"/>
    <x v="2"/>
    <n v="3"/>
    <s v="Single"/>
    <n v="3894"/>
    <n v="9129"/>
    <n v="5"/>
    <x v="1"/>
    <n v="16"/>
    <n v="3"/>
    <n v="3"/>
    <n v="0"/>
    <n v="4"/>
    <n v="3"/>
    <n v="3"/>
    <n v="2"/>
    <n v="2"/>
    <n v="1"/>
    <n v="2"/>
    <s v="Below 30"/>
  </r>
  <r>
    <n v="48"/>
    <x v="1"/>
    <s v="Travel_Rarely"/>
    <n v="163"/>
    <x v="0"/>
    <n v="2"/>
    <n v="5"/>
    <s v="Marketing"/>
    <n v="595"/>
    <n v="2"/>
    <s v="Female"/>
    <n v="37"/>
    <n v="3"/>
    <n v="2"/>
    <x v="0"/>
    <n v="4"/>
    <s v="Married"/>
    <n v="4051"/>
    <n v="19658"/>
    <n v="2"/>
    <x v="1"/>
    <n v="14"/>
    <n v="3"/>
    <n v="1"/>
    <n v="1"/>
    <n v="14"/>
    <n v="2"/>
    <n v="3"/>
    <n v="9"/>
    <n v="7"/>
    <n v="6"/>
    <n v="7"/>
    <s v="40-49"/>
  </r>
  <r>
    <n v="55"/>
    <x v="1"/>
    <s v="Travel_Rarely"/>
    <n v="1117"/>
    <x v="0"/>
    <n v="18"/>
    <n v="5"/>
    <s v="Life Sciences"/>
    <n v="597"/>
    <n v="1"/>
    <s v="Female"/>
    <n v="83"/>
    <n v="3"/>
    <n v="4"/>
    <x v="5"/>
    <n v="2"/>
    <s v="Single"/>
    <n v="16835"/>
    <n v="9873"/>
    <n v="3"/>
    <x v="1"/>
    <n v="23"/>
    <n v="4"/>
    <n v="4"/>
    <n v="0"/>
    <n v="37"/>
    <n v="2"/>
    <n v="3"/>
    <n v="10"/>
    <n v="9"/>
    <n v="7"/>
    <n v="7"/>
    <s v="50+"/>
  </r>
  <r>
    <n v="41"/>
    <x v="1"/>
    <s v="Non-Travel"/>
    <n v="267"/>
    <x v="0"/>
    <n v="10"/>
    <n v="2"/>
    <s v="Life Sciences"/>
    <n v="599"/>
    <n v="4"/>
    <s v="Male"/>
    <n v="56"/>
    <n v="3"/>
    <n v="2"/>
    <x v="0"/>
    <n v="4"/>
    <s v="Single"/>
    <n v="6230"/>
    <n v="13430"/>
    <n v="7"/>
    <x v="1"/>
    <n v="14"/>
    <n v="3"/>
    <n v="4"/>
    <n v="0"/>
    <n v="16"/>
    <n v="3"/>
    <n v="3"/>
    <n v="14"/>
    <n v="3"/>
    <n v="1"/>
    <n v="10"/>
    <s v="40-49"/>
  </r>
  <r>
    <n v="35"/>
    <x v="1"/>
    <s v="Travel_Rarely"/>
    <n v="619"/>
    <x v="0"/>
    <n v="1"/>
    <n v="3"/>
    <s v="Marketing"/>
    <n v="600"/>
    <n v="2"/>
    <s v="Male"/>
    <n v="85"/>
    <n v="3"/>
    <n v="2"/>
    <x v="0"/>
    <n v="3"/>
    <s v="Married"/>
    <n v="4717"/>
    <n v="18659"/>
    <n v="9"/>
    <x v="1"/>
    <n v="11"/>
    <n v="3"/>
    <n v="3"/>
    <n v="0"/>
    <n v="15"/>
    <n v="2"/>
    <n v="3"/>
    <n v="11"/>
    <n v="9"/>
    <n v="6"/>
    <n v="9"/>
    <s v="30-39"/>
  </r>
  <r>
    <n v="40"/>
    <x v="1"/>
    <s v="Travel_Rarely"/>
    <n v="302"/>
    <x v="1"/>
    <n v="6"/>
    <n v="3"/>
    <s v="Life Sciences"/>
    <n v="601"/>
    <n v="2"/>
    <s v="Female"/>
    <n v="75"/>
    <n v="3"/>
    <n v="4"/>
    <x v="3"/>
    <n v="3"/>
    <s v="Single"/>
    <n v="13237"/>
    <n v="20364"/>
    <n v="7"/>
    <x v="1"/>
    <n v="15"/>
    <n v="3"/>
    <n v="3"/>
    <n v="0"/>
    <n v="22"/>
    <n v="3"/>
    <n v="3"/>
    <n v="20"/>
    <n v="6"/>
    <n v="5"/>
    <n v="13"/>
    <s v="40-49"/>
  </r>
  <r>
    <n v="39"/>
    <x v="1"/>
    <s v="Travel_Frequently"/>
    <n v="443"/>
    <x v="1"/>
    <n v="8"/>
    <n v="1"/>
    <s v="Life Sciences"/>
    <n v="602"/>
    <n v="3"/>
    <s v="Female"/>
    <n v="48"/>
    <n v="3"/>
    <n v="1"/>
    <x v="2"/>
    <n v="3"/>
    <s v="Married"/>
    <n v="3755"/>
    <n v="17872"/>
    <n v="1"/>
    <x v="1"/>
    <n v="11"/>
    <n v="3"/>
    <n v="1"/>
    <n v="1"/>
    <n v="8"/>
    <n v="3"/>
    <n v="3"/>
    <n v="8"/>
    <n v="3"/>
    <n v="0"/>
    <n v="7"/>
    <s v="30-39"/>
  </r>
  <r>
    <n v="31"/>
    <x v="1"/>
    <s v="Travel_Rarely"/>
    <n v="828"/>
    <x v="0"/>
    <n v="2"/>
    <n v="1"/>
    <s v="Life Sciences"/>
    <n v="604"/>
    <n v="2"/>
    <s v="Male"/>
    <n v="77"/>
    <n v="3"/>
    <n v="2"/>
    <x v="0"/>
    <n v="4"/>
    <s v="Single"/>
    <n v="6582"/>
    <n v="8346"/>
    <n v="4"/>
    <x v="0"/>
    <n v="13"/>
    <n v="3"/>
    <n v="3"/>
    <n v="0"/>
    <n v="10"/>
    <n v="2"/>
    <n v="4"/>
    <n v="6"/>
    <n v="5"/>
    <n v="0"/>
    <n v="5"/>
    <s v="30-39"/>
  </r>
  <r>
    <n v="42"/>
    <x v="1"/>
    <s v="Travel_Rarely"/>
    <n v="319"/>
    <x v="1"/>
    <n v="24"/>
    <n v="3"/>
    <s v="Medical"/>
    <n v="605"/>
    <n v="4"/>
    <s v="Male"/>
    <n v="56"/>
    <n v="3"/>
    <n v="3"/>
    <x v="3"/>
    <n v="1"/>
    <s v="Married"/>
    <n v="7406"/>
    <n v="6950"/>
    <n v="1"/>
    <x v="0"/>
    <n v="21"/>
    <n v="4"/>
    <n v="4"/>
    <n v="1"/>
    <n v="10"/>
    <n v="5"/>
    <n v="2"/>
    <n v="10"/>
    <n v="9"/>
    <n v="5"/>
    <n v="8"/>
    <s v="40-49"/>
  </r>
  <r>
    <n v="45"/>
    <x v="1"/>
    <s v="Travel_Rarely"/>
    <n v="561"/>
    <x v="0"/>
    <n v="2"/>
    <n v="3"/>
    <s v="Other"/>
    <n v="606"/>
    <n v="4"/>
    <s v="Male"/>
    <n v="61"/>
    <n v="3"/>
    <n v="2"/>
    <x v="0"/>
    <n v="2"/>
    <s v="Married"/>
    <n v="4805"/>
    <n v="16177"/>
    <n v="0"/>
    <x v="1"/>
    <n v="19"/>
    <n v="3"/>
    <n v="2"/>
    <n v="1"/>
    <n v="9"/>
    <n v="3"/>
    <n v="4"/>
    <n v="8"/>
    <n v="7"/>
    <n v="3"/>
    <n v="7"/>
    <s v="40-49"/>
  </r>
  <r>
    <n v="26"/>
    <x v="0"/>
    <s v="Travel_Frequently"/>
    <n v="426"/>
    <x v="2"/>
    <n v="17"/>
    <n v="4"/>
    <s v="Life Sciences"/>
    <n v="608"/>
    <n v="2"/>
    <s v="Female"/>
    <n v="58"/>
    <n v="3"/>
    <n v="1"/>
    <x v="8"/>
    <n v="3"/>
    <s v="Divorced"/>
    <n v="2741"/>
    <n v="22808"/>
    <n v="0"/>
    <x v="0"/>
    <n v="11"/>
    <n v="3"/>
    <n v="2"/>
    <n v="1"/>
    <n v="8"/>
    <n v="2"/>
    <n v="2"/>
    <n v="7"/>
    <n v="7"/>
    <n v="1"/>
    <n v="0"/>
    <s v="Below 30"/>
  </r>
  <r>
    <n v="29"/>
    <x v="1"/>
    <s v="Travel_Rarely"/>
    <n v="232"/>
    <x v="1"/>
    <n v="19"/>
    <n v="3"/>
    <s v="Technical Degree"/>
    <n v="611"/>
    <n v="4"/>
    <s v="Male"/>
    <n v="34"/>
    <n v="3"/>
    <n v="2"/>
    <x v="3"/>
    <n v="4"/>
    <s v="Divorced"/>
    <n v="4262"/>
    <n v="22645"/>
    <n v="4"/>
    <x v="1"/>
    <n v="12"/>
    <n v="3"/>
    <n v="2"/>
    <n v="2"/>
    <n v="8"/>
    <n v="2"/>
    <n v="4"/>
    <n v="3"/>
    <n v="2"/>
    <n v="1"/>
    <n v="2"/>
    <s v="Below 30"/>
  </r>
  <r>
    <n v="33"/>
    <x v="1"/>
    <s v="Travel_Rarely"/>
    <n v="922"/>
    <x v="1"/>
    <n v="1"/>
    <n v="5"/>
    <s v="Medical"/>
    <n v="612"/>
    <n v="1"/>
    <s v="Female"/>
    <n v="95"/>
    <n v="4"/>
    <n v="4"/>
    <x v="7"/>
    <n v="3"/>
    <s v="Divorced"/>
    <n v="16184"/>
    <n v="22578"/>
    <n v="4"/>
    <x v="1"/>
    <n v="19"/>
    <n v="3"/>
    <n v="3"/>
    <n v="1"/>
    <n v="10"/>
    <n v="2"/>
    <n v="3"/>
    <n v="6"/>
    <n v="1"/>
    <n v="0"/>
    <n v="5"/>
    <s v="30-39"/>
  </r>
  <r>
    <n v="31"/>
    <x v="1"/>
    <s v="Travel_Rarely"/>
    <n v="688"/>
    <x v="0"/>
    <n v="7"/>
    <n v="3"/>
    <s v="Life Sciences"/>
    <n v="613"/>
    <n v="3"/>
    <s v="Male"/>
    <n v="44"/>
    <n v="2"/>
    <n v="3"/>
    <x v="5"/>
    <n v="4"/>
    <s v="Divorced"/>
    <n v="11557"/>
    <n v="25291"/>
    <n v="9"/>
    <x v="1"/>
    <n v="21"/>
    <n v="4"/>
    <n v="3"/>
    <n v="1"/>
    <n v="10"/>
    <n v="3"/>
    <n v="2"/>
    <n v="5"/>
    <n v="4"/>
    <n v="0"/>
    <n v="1"/>
    <s v="30-39"/>
  </r>
  <r>
    <n v="18"/>
    <x v="0"/>
    <s v="Travel_Frequently"/>
    <n v="1306"/>
    <x v="0"/>
    <n v="5"/>
    <n v="3"/>
    <s v="Marketing"/>
    <n v="614"/>
    <n v="2"/>
    <s v="Male"/>
    <n v="69"/>
    <n v="3"/>
    <n v="1"/>
    <x v="6"/>
    <n v="2"/>
    <s v="Single"/>
    <n v="1878"/>
    <n v="8059"/>
    <n v="1"/>
    <x v="0"/>
    <n v="14"/>
    <n v="3"/>
    <n v="4"/>
    <n v="0"/>
    <n v="0"/>
    <n v="3"/>
    <n v="3"/>
    <n v="0"/>
    <n v="0"/>
    <n v="0"/>
    <n v="0"/>
    <s v="Below 30"/>
  </r>
  <r>
    <n v="40"/>
    <x v="1"/>
    <s v="Non-Travel"/>
    <n v="1094"/>
    <x v="0"/>
    <n v="28"/>
    <n v="3"/>
    <s v="Other"/>
    <n v="615"/>
    <n v="3"/>
    <s v="Male"/>
    <n v="58"/>
    <n v="1"/>
    <n v="3"/>
    <x v="0"/>
    <n v="1"/>
    <s v="Divorced"/>
    <n v="10932"/>
    <n v="11373"/>
    <n v="3"/>
    <x v="1"/>
    <n v="15"/>
    <n v="3"/>
    <n v="3"/>
    <n v="1"/>
    <n v="20"/>
    <n v="2"/>
    <n v="3"/>
    <n v="1"/>
    <n v="0"/>
    <n v="0"/>
    <n v="1"/>
    <s v="40-49"/>
  </r>
  <r>
    <n v="41"/>
    <x v="1"/>
    <s v="Non-Travel"/>
    <n v="509"/>
    <x v="1"/>
    <n v="2"/>
    <n v="4"/>
    <s v="Other"/>
    <n v="616"/>
    <n v="1"/>
    <s v="Female"/>
    <n v="62"/>
    <n v="2"/>
    <n v="2"/>
    <x v="4"/>
    <n v="3"/>
    <s v="Single"/>
    <n v="6811"/>
    <n v="2112"/>
    <n v="2"/>
    <x v="0"/>
    <n v="17"/>
    <n v="3"/>
    <n v="1"/>
    <n v="0"/>
    <n v="10"/>
    <n v="3"/>
    <n v="3"/>
    <n v="8"/>
    <n v="7"/>
    <n v="0"/>
    <n v="7"/>
    <s v="40-49"/>
  </r>
  <r>
    <n v="26"/>
    <x v="1"/>
    <s v="Travel_Rarely"/>
    <n v="775"/>
    <x v="0"/>
    <n v="29"/>
    <n v="2"/>
    <s v="Medical"/>
    <n v="618"/>
    <n v="1"/>
    <s v="Male"/>
    <n v="45"/>
    <n v="3"/>
    <n v="2"/>
    <x v="0"/>
    <n v="3"/>
    <s v="Divorced"/>
    <n v="4306"/>
    <n v="4267"/>
    <n v="5"/>
    <x v="1"/>
    <n v="12"/>
    <n v="3"/>
    <n v="1"/>
    <n v="2"/>
    <n v="8"/>
    <n v="5"/>
    <n v="3"/>
    <n v="0"/>
    <n v="0"/>
    <n v="0"/>
    <n v="0"/>
    <s v="Below 30"/>
  </r>
  <r>
    <n v="35"/>
    <x v="1"/>
    <s v="Travel_Rarely"/>
    <n v="195"/>
    <x v="0"/>
    <n v="1"/>
    <n v="3"/>
    <s v="Medical"/>
    <n v="620"/>
    <n v="1"/>
    <s v="Female"/>
    <n v="80"/>
    <n v="3"/>
    <n v="2"/>
    <x v="0"/>
    <n v="3"/>
    <s v="Single"/>
    <n v="4859"/>
    <n v="6698"/>
    <n v="1"/>
    <x v="1"/>
    <n v="16"/>
    <n v="3"/>
    <n v="4"/>
    <n v="0"/>
    <n v="5"/>
    <n v="3"/>
    <n v="3"/>
    <n v="5"/>
    <n v="4"/>
    <n v="0"/>
    <n v="3"/>
    <s v="30-39"/>
  </r>
  <r>
    <n v="34"/>
    <x v="1"/>
    <s v="Travel_Rarely"/>
    <n v="258"/>
    <x v="0"/>
    <n v="21"/>
    <n v="4"/>
    <s v="Life Sciences"/>
    <n v="621"/>
    <n v="4"/>
    <s v="Male"/>
    <n v="74"/>
    <n v="4"/>
    <n v="2"/>
    <x v="0"/>
    <n v="4"/>
    <s v="Single"/>
    <n v="5337"/>
    <n v="19921"/>
    <n v="1"/>
    <x v="1"/>
    <n v="12"/>
    <n v="3"/>
    <n v="4"/>
    <n v="0"/>
    <n v="10"/>
    <n v="3"/>
    <n v="3"/>
    <n v="10"/>
    <n v="7"/>
    <n v="5"/>
    <n v="7"/>
    <s v="30-39"/>
  </r>
  <r>
    <n v="26"/>
    <x v="0"/>
    <s v="Travel_Rarely"/>
    <n v="471"/>
    <x v="1"/>
    <n v="24"/>
    <n v="3"/>
    <s v="Technical Degree"/>
    <n v="622"/>
    <n v="3"/>
    <s v="Male"/>
    <n v="66"/>
    <n v="1"/>
    <n v="1"/>
    <x v="2"/>
    <n v="4"/>
    <s v="Single"/>
    <n v="2340"/>
    <n v="23213"/>
    <n v="1"/>
    <x v="0"/>
    <n v="18"/>
    <n v="3"/>
    <n v="2"/>
    <n v="0"/>
    <n v="1"/>
    <n v="3"/>
    <n v="1"/>
    <n v="1"/>
    <n v="0"/>
    <n v="0"/>
    <n v="0"/>
    <s v="Below 30"/>
  </r>
  <r>
    <n v="37"/>
    <x v="1"/>
    <s v="Travel_Rarely"/>
    <n v="799"/>
    <x v="1"/>
    <n v="1"/>
    <n v="3"/>
    <s v="Technical Degree"/>
    <n v="623"/>
    <n v="2"/>
    <s v="Female"/>
    <n v="59"/>
    <n v="3"/>
    <n v="3"/>
    <x v="3"/>
    <n v="4"/>
    <s v="Single"/>
    <n v="7491"/>
    <n v="23848"/>
    <n v="4"/>
    <x v="1"/>
    <n v="17"/>
    <n v="3"/>
    <n v="4"/>
    <n v="0"/>
    <n v="12"/>
    <n v="3"/>
    <n v="4"/>
    <n v="6"/>
    <n v="5"/>
    <n v="1"/>
    <n v="2"/>
    <s v="30-39"/>
  </r>
  <r>
    <n v="46"/>
    <x v="1"/>
    <s v="Travel_Frequently"/>
    <n v="1034"/>
    <x v="1"/>
    <n v="18"/>
    <n v="1"/>
    <s v="Medical"/>
    <n v="624"/>
    <n v="1"/>
    <s v="Female"/>
    <n v="86"/>
    <n v="3"/>
    <n v="3"/>
    <x v="4"/>
    <n v="3"/>
    <s v="Married"/>
    <n v="10527"/>
    <n v="8984"/>
    <n v="5"/>
    <x v="1"/>
    <n v="11"/>
    <n v="3"/>
    <n v="4"/>
    <n v="0"/>
    <n v="28"/>
    <n v="3"/>
    <n v="2"/>
    <n v="2"/>
    <n v="2"/>
    <n v="1"/>
    <n v="2"/>
    <s v="40-49"/>
  </r>
  <r>
    <n v="41"/>
    <x v="1"/>
    <s v="Travel_Rarely"/>
    <n v="1276"/>
    <x v="0"/>
    <n v="2"/>
    <n v="5"/>
    <s v="Life Sciences"/>
    <n v="625"/>
    <n v="2"/>
    <s v="Female"/>
    <n v="91"/>
    <n v="3"/>
    <n v="4"/>
    <x v="5"/>
    <n v="1"/>
    <s v="Married"/>
    <n v="16595"/>
    <n v="5626"/>
    <n v="7"/>
    <x v="1"/>
    <n v="16"/>
    <n v="3"/>
    <n v="2"/>
    <n v="1"/>
    <n v="22"/>
    <n v="2"/>
    <n v="3"/>
    <n v="18"/>
    <n v="16"/>
    <n v="11"/>
    <n v="8"/>
    <s v="40-49"/>
  </r>
  <r>
    <n v="37"/>
    <x v="1"/>
    <s v="Non-Travel"/>
    <n v="142"/>
    <x v="0"/>
    <n v="9"/>
    <n v="4"/>
    <s v="Medical"/>
    <n v="626"/>
    <n v="1"/>
    <s v="Male"/>
    <n v="69"/>
    <n v="3"/>
    <n v="3"/>
    <x v="0"/>
    <n v="2"/>
    <s v="Divorced"/>
    <n v="8834"/>
    <n v="24666"/>
    <n v="1"/>
    <x v="1"/>
    <n v="13"/>
    <n v="3"/>
    <n v="4"/>
    <n v="1"/>
    <n v="9"/>
    <n v="6"/>
    <n v="3"/>
    <n v="9"/>
    <n v="5"/>
    <n v="7"/>
    <n v="7"/>
    <s v="30-39"/>
  </r>
  <r>
    <n v="52"/>
    <x v="1"/>
    <s v="Travel_Rarely"/>
    <n v="956"/>
    <x v="1"/>
    <n v="6"/>
    <n v="2"/>
    <s v="Technical Degree"/>
    <n v="630"/>
    <n v="4"/>
    <s v="Male"/>
    <n v="78"/>
    <n v="3"/>
    <n v="2"/>
    <x v="1"/>
    <n v="1"/>
    <s v="Divorced"/>
    <n v="5577"/>
    <n v="22087"/>
    <n v="3"/>
    <x v="0"/>
    <n v="12"/>
    <n v="3"/>
    <n v="2"/>
    <n v="2"/>
    <n v="18"/>
    <n v="3"/>
    <n v="3"/>
    <n v="10"/>
    <n v="9"/>
    <n v="6"/>
    <n v="9"/>
    <s v="50+"/>
  </r>
  <r>
    <n v="32"/>
    <x v="0"/>
    <s v="Non-Travel"/>
    <n v="1474"/>
    <x v="0"/>
    <n v="11"/>
    <n v="4"/>
    <s v="Other"/>
    <n v="631"/>
    <n v="4"/>
    <s v="Male"/>
    <n v="60"/>
    <n v="4"/>
    <n v="2"/>
    <x v="0"/>
    <n v="3"/>
    <s v="Married"/>
    <n v="4707"/>
    <n v="23914"/>
    <n v="8"/>
    <x v="1"/>
    <n v="12"/>
    <n v="3"/>
    <n v="4"/>
    <n v="0"/>
    <n v="6"/>
    <n v="2"/>
    <n v="3"/>
    <n v="4"/>
    <n v="2"/>
    <n v="1"/>
    <n v="2"/>
    <s v="30-39"/>
  </r>
  <r>
    <n v="24"/>
    <x v="1"/>
    <s v="Travel_Frequently"/>
    <n v="535"/>
    <x v="0"/>
    <n v="24"/>
    <n v="3"/>
    <s v="Medical"/>
    <n v="632"/>
    <n v="4"/>
    <s v="Male"/>
    <n v="38"/>
    <n v="3"/>
    <n v="1"/>
    <x v="6"/>
    <n v="4"/>
    <s v="Married"/>
    <n v="2400"/>
    <n v="5530"/>
    <n v="0"/>
    <x v="1"/>
    <n v="13"/>
    <n v="3"/>
    <n v="3"/>
    <n v="2"/>
    <n v="3"/>
    <n v="3"/>
    <n v="3"/>
    <n v="2"/>
    <n v="2"/>
    <n v="2"/>
    <n v="1"/>
    <s v="Below 30"/>
  </r>
  <r>
    <n v="38"/>
    <x v="1"/>
    <s v="Travel_Rarely"/>
    <n v="1495"/>
    <x v="1"/>
    <n v="10"/>
    <n v="3"/>
    <s v="Medical"/>
    <n v="634"/>
    <n v="3"/>
    <s v="Female"/>
    <n v="76"/>
    <n v="3"/>
    <n v="2"/>
    <x v="4"/>
    <n v="3"/>
    <s v="Married"/>
    <n v="9824"/>
    <n v="22174"/>
    <n v="3"/>
    <x v="1"/>
    <n v="19"/>
    <n v="3"/>
    <n v="3"/>
    <n v="1"/>
    <n v="18"/>
    <n v="4"/>
    <n v="3"/>
    <n v="1"/>
    <n v="0"/>
    <n v="0"/>
    <n v="0"/>
    <s v="30-39"/>
  </r>
  <r>
    <n v="37"/>
    <x v="1"/>
    <s v="Travel_Rarely"/>
    <n v="446"/>
    <x v="1"/>
    <n v="1"/>
    <n v="4"/>
    <s v="Life Sciences"/>
    <n v="635"/>
    <n v="2"/>
    <s v="Female"/>
    <n v="65"/>
    <n v="3"/>
    <n v="2"/>
    <x v="3"/>
    <n v="2"/>
    <s v="Married"/>
    <n v="6447"/>
    <n v="15701"/>
    <n v="6"/>
    <x v="1"/>
    <n v="12"/>
    <n v="3"/>
    <n v="2"/>
    <n v="1"/>
    <n v="8"/>
    <n v="2"/>
    <n v="2"/>
    <n v="6"/>
    <n v="5"/>
    <n v="4"/>
    <n v="3"/>
    <s v="30-39"/>
  </r>
  <r>
    <n v="49"/>
    <x v="1"/>
    <s v="Travel_Rarely"/>
    <n v="1245"/>
    <x v="1"/>
    <n v="18"/>
    <n v="4"/>
    <s v="Life Sciences"/>
    <n v="638"/>
    <n v="4"/>
    <s v="Male"/>
    <n v="58"/>
    <n v="2"/>
    <n v="5"/>
    <x v="7"/>
    <n v="3"/>
    <s v="Divorced"/>
    <n v="19502"/>
    <n v="2125"/>
    <n v="1"/>
    <x v="0"/>
    <n v="17"/>
    <n v="3"/>
    <n v="3"/>
    <n v="1"/>
    <n v="31"/>
    <n v="5"/>
    <n v="3"/>
    <n v="31"/>
    <n v="9"/>
    <n v="0"/>
    <n v="9"/>
    <s v="40-49"/>
  </r>
  <r>
    <n v="24"/>
    <x v="1"/>
    <s v="Travel_Rarely"/>
    <n v="691"/>
    <x v="1"/>
    <n v="23"/>
    <n v="3"/>
    <s v="Medical"/>
    <n v="639"/>
    <n v="2"/>
    <s v="Male"/>
    <n v="89"/>
    <n v="4"/>
    <n v="1"/>
    <x v="1"/>
    <n v="4"/>
    <s v="Married"/>
    <n v="2725"/>
    <n v="21630"/>
    <n v="1"/>
    <x v="0"/>
    <n v="11"/>
    <n v="3"/>
    <n v="2"/>
    <n v="2"/>
    <n v="6"/>
    <n v="3"/>
    <n v="3"/>
    <n v="6"/>
    <n v="5"/>
    <n v="1"/>
    <n v="4"/>
    <s v="Below 30"/>
  </r>
  <r>
    <n v="26"/>
    <x v="1"/>
    <s v="Travel_Rarely"/>
    <n v="703"/>
    <x v="0"/>
    <n v="28"/>
    <n v="2"/>
    <s v="Marketing"/>
    <n v="641"/>
    <n v="1"/>
    <s v="Male"/>
    <n v="66"/>
    <n v="3"/>
    <n v="2"/>
    <x v="0"/>
    <n v="2"/>
    <s v="Married"/>
    <n v="6272"/>
    <n v="7428"/>
    <n v="1"/>
    <x v="1"/>
    <n v="20"/>
    <n v="4"/>
    <n v="4"/>
    <n v="2"/>
    <n v="6"/>
    <n v="5"/>
    <n v="4"/>
    <n v="5"/>
    <n v="3"/>
    <n v="1"/>
    <n v="4"/>
    <s v="Below 30"/>
  </r>
  <r>
    <n v="24"/>
    <x v="1"/>
    <s v="Travel_Rarely"/>
    <n v="823"/>
    <x v="1"/>
    <n v="17"/>
    <n v="2"/>
    <s v="Other"/>
    <n v="643"/>
    <n v="4"/>
    <s v="Male"/>
    <n v="94"/>
    <n v="2"/>
    <n v="1"/>
    <x v="2"/>
    <n v="2"/>
    <s v="Married"/>
    <n v="2127"/>
    <n v="9100"/>
    <n v="1"/>
    <x v="1"/>
    <n v="21"/>
    <n v="4"/>
    <n v="4"/>
    <n v="1"/>
    <n v="1"/>
    <n v="2"/>
    <n v="3"/>
    <n v="1"/>
    <n v="0"/>
    <n v="0"/>
    <n v="0"/>
    <s v="Below 30"/>
  </r>
  <r>
    <n v="50"/>
    <x v="1"/>
    <s v="Travel_Frequently"/>
    <n v="1246"/>
    <x v="2"/>
    <n v="3"/>
    <n v="3"/>
    <s v="Medical"/>
    <n v="644"/>
    <n v="1"/>
    <s v="Male"/>
    <n v="99"/>
    <n v="3"/>
    <n v="5"/>
    <x v="5"/>
    <n v="2"/>
    <s v="Married"/>
    <n v="18200"/>
    <n v="7999"/>
    <n v="1"/>
    <x v="1"/>
    <n v="11"/>
    <n v="3"/>
    <n v="3"/>
    <n v="1"/>
    <n v="32"/>
    <n v="2"/>
    <n v="3"/>
    <n v="32"/>
    <n v="5"/>
    <n v="10"/>
    <n v="7"/>
    <s v="50+"/>
  </r>
  <r>
    <n v="25"/>
    <x v="1"/>
    <s v="Travel_Rarely"/>
    <n v="622"/>
    <x v="0"/>
    <n v="13"/>
    <n v="1"/>
    <s v="Medical"/>
    <n v="645"/>
    <n v="2"/>
    <s v="Male"/>
    <n v="40"/>
    <n v="3"/>
    <n v="1"/>
    <x v="6"/>
    <n v="3"/>
    <s v="Married"/>
    <n v="2096"/>
    <n v="26376"/>
    <n v="1"/>
    <x v="1"/>
    <n v="11"/>
    <n v="3"/>
    <n v="3"/>
    <n v="0"/>
    <n v="7"/>
    <n v="1"/>
    <n v="3"/>
    <n v="7"/>
    <n v="4"/>
    <n v="0"/>
    <n v="6"/>
    <s v="Below 30"/>
  </r>
  <r>
    <n v="24"/>
    <x v="0"/>
    <s v="Travel_Frequently"/>
    <n v="1287"/>
    <x v="1"/>
    <n v="7"/>
    <n v="3"/>
    <s v="Life Sciences"/>
    <n v="647"/>
    <n v="1"/>
    <s v="Female"/>
    <n v="55"/>
    <n v="3"/>
    <n v="1"/>
    <x v="2"/>
    <n v="3"/>
    <s v="Married"/>
    <n v="2886"/>
    <n v="14168"/>
    <n v="1"/>
    <x v="0"/>
    <n v="16"/>
    <n v="3"/>
    <n v="4"/>
    <n v="1"/>
    <n v="6"/>
    <n v="4"/>
    <n v="3"/>
    <n v="6"/>
    <n v="3"/>
    <n v="1"/>
    <n v="2"/>
    <s v="Below 30"/>
  </r>
  <r>
    <n v="30"/>
    <x v="0"/>
    <s v="Travel_Frequently"/>
    <n v="448"/>
    <x v="0"/>
    <n v="12"/>
    <n v="4"/>
    <s v="Life Sciences"/>
    <n v="648"/>
    <n v="2"/>
    <s v="Male"/>
    <n v="74"/>
    <n v="2"/>
    <n v="1"/>
    <x v="6"/>
    <n v="1"/>
    <s v="Married"/>
    <n v="2033"/>
    <n v="14470"/>
    <n v="1"/>
    <x v="1"/>
    <n v="18"/>
    <n v="3"/>
    <n v="3"/>
    <n v="1"/>
    <n v="1"/>
    <n v="2"/>
    <n v="4"/>
    <n v="1"/>
    <n v="0"/>
    <n v="0"/>
    <n v="0"/>
    <s v="30-39"/>
  </r>
  <r>
    <n v="34"/>
    <x v="1"/>
    <s v="Travel_Rarely"/>
    <n v="254"/>
    <x v="1"/>
    <n v="1"/>
    <n v="2"/>
    <s v="Life Sciences"/>
    <n v="649"/>
    <n v="2"/>
    <s v="Male"/>
    <n v="83"/>
    <n v="2"/>
    <n v="1"/>
    <x v="1"/>
    <n v="4"/>
    <s v="Married"/>
    <n v="3622"/>
    <n v="22794"/>
    <n v="1"/>
    <x v="0"/>
    <n v="13"/>
    <n v="3"/>
    <n v="4"/>
    <n v="1"/>
    <n v="6"/>
    <n v="3"/>
    <n v="3"/>
    <n v="6"/>
    <n v="5"/>
    <n v="1"/>
    <n v="3"/>
    <s v="30-39"/>
  </r>
  <r>
    <n v="31"/>
    <x v="0"/>
    <s v="Travel_Rarely"/>
    <n v="1365"/>
    <x v="0"/>
    <n v="13"/>
    <n v="4"/>
    <s v="Medical"/>
    <n v="650"/>
    <n v="2"/>
    <s v="Male"/>
    <n v="46"/>
    <n v="3"/>
    <n v="2"/>
    <x v="0"/>
    <n v="1"/>
    <s v="Divorced"/>
    <n v="4233"/>
    <n v="11512"/>
    <n v="2"/>
    <x v="1"/>
    <n v="17"/>
    <n v="3"/>
    <n v="3"/>
    <n v="0"/>
    <n v="9"/>
    <n v="2"/>
    <n v="1"/>
    <n v="3"/>
    <n v="1"/>
    <n v="1"/>
    <n v="2"/>
    <s v="30-39"/>
  </r>
  <r>
    <n v="35"/>
    <x v="1"/>
    <s v="Travel_Rarely"/>
    <n v="538"/>
    <x v="1"/>
    <n v="25"/>
    <n v="2"/>
    <s v="Other"/>
    <n v="652"/>
    <n v="1"/>
    <s v="Male"/>
    <n v="54"/>
    <n v="2"/>
    <n v="2"/>
    <x v="2"/>
    <n v="4"/>
    <s v="Single"/>
    <n v="3681"/>
    <n v="14004"/>
    <n v="4"/>
    <x v="1"/>
    <n v="14"/>
    <n v="3"/>
    <n v="4"/>
    <n v="0"/>
    <n v="9"/>
    <n v="3"/>
    <n v="3"/>
    <n v="3"/>
    <n v="2"/>
    <n v="0"/>
    <n v="2"/>
    <s v="30-39"/>
  </r>
  <r>
    <n v="31"/>
    <x v="1"/>
    <s v="Travel_Rarely"/>
    <n v="525"/>
    <x v="0"/>
    <n v="6"/>
    <n v="4"/>
    <s v="Medical"/>
    <n v="653"/>
    <n v="1"/>
    <s v="Male"/>
    <n v="66"/>
    <n v="4"/>
    <n v="2"/>
    <x v="0"/>
    <n v="4"/>
    <s v="Divorced"/>
    <n v="5460"/>
    <n v="6219"/>
    <n v="4"/>
    <x v="1"/>
    <n v="22"/>
    <n v="4"/>
    <n v="4"/>
    <n v="2"/>
    <n v="13"/>
    <n v="4"/>
    <n v="4"/>
    <n v="7"/>
    <n v="7"/>
    <n v="5"/>
    <n v="7"/>
    <s v="30-39"/>
  </r>
  <r>
    <n v="27"/>
    <x v="1"/>
    <s v="Travel_Rarely"/>
    <n v="798"/>
    <x v="1"/>
    <n v="6"/>
    <n v="4"/>
    <s v="Medical"/>
    <n v="655"/>
    <n v="1"/>
    <s v="Female"/>
    <n v="66"/>
    <n v="2"/>
    <n v="1"/>
    <x v="1"/>
    <n v="3"/>
    <s v="Divorced"/>
    <n v="2187"/>
    <n v="5013"/>
    <n v="0"/>
    <x v="1"/>
    <n v="12"/>
    <n v="3"/>
    <n v="3"/>
    <n v="2"/>
    <n v="6"/>
    <n v="5"/>
    <n v="2"/>
    <n v="5"/>
    <n v="3"/>
    <n v="0"/>
    <n v="3"/>
    <s v="Below 30"/>
  </r>
  <r>
    <n v="37"/>
    <x v="1"/>
    <s v="Travel_Rarely"/>
    <n v="558"/>
    <x v="0"/>
    <n v="2"/>
    <n v="3"/>
    <s v="Marketing"/>
    <n v="656"/>
    <n v="4"/>
    <s v="Male"/>
    <n v="75"/>
    <n v="3"/>
    <n v="2"/>
    <x v="0"/>
    <n v="3"/>
    <s v="Married"/>
    <n v="9602"/>
    <n v="3010"/>
    <n v="4"/>
    <x v="0"/>
    <n v="11"/>
    <n v="3"/>
    <n v="3"/>
    <n v="1"/>
    <n v="17"/>
    <n v="3"/>
    <n v="2"/>
    <n v="3"/>
    <n v="0"/>
    <n v="1"/>
    <n v="0"/>
    <s v="30-39"/>
  </r>
  <r>
    <n v="20"/>
    <x v="1"/>
    <s v="Travel_Rarely"/>
    <n v="959"/>
    <x v="1"/>
    <n v="1"/>
    <n v="3"/>
    <s v="Life Sciences"/>
    <n v="657"/>
    <n v="4"/>
    <s v="Female"/>
    <n v="83"/>
    <n v="2"/>
    <n v="1"/>
    <x v="1"/>
    <n v="2"/>
    <s v="Single"/>
    <n v="2836"/>
    <n v="11757"/>
    <n v="1"/>
    <x v="1"/>
    <n v="13"/>
    <n v="3"/>
    <n v="4"/>
    <n v="0"/>
    <n v="1"/>
    <n v="0"/>
    <n v="4"/>
    <n v="1"/>
    <n v="0"/>
    <n v="0"/>
    <n v="0"/>
    <s v="Below 30"/>
  </r>
  <r>
    <n v="42"/>
    <x v="1"/>
    <s v="Travel_Rarely"/>
    <n v="622"/>
    <x v="1"/>
    <n v="2"/>
    <n v="4"/>
    <s v="Life Sciences"/>
    <n v="659"/>
    <n v="3"/>
    <s v="Female"/>
    <n v="81"/>
    <n v="3"/>
    <n v="2"/>
    <x v="4"/>
    <n v="4"/>
    <s v="Married"/>
    <n v="4089"/>
    <n v="5718"/>
    <n v="1"/>
    <x v="1"/>
    <n v="13"/>
    <n v="3"/>
    <n v="2"/>
    <n v="2"/>
    <n v="10"/>
    <n v="4"/>
    <n v="3"/>
    <n v="10"/>
    <n v="2"/>
    <n v="2"/>
    <n v="2"/>
    <s v="40-49"/>
  </r>
  <r>
    <n v="43"/>
    <x v="1"/>
    <s v="Travel_Rarely"/>
    <n v="782"/>
    <x v="1"/>
    <n v="6"/>
    <n v="4"/>
    <s v="Other"/>
    <n v="661"/>
    <n v="2"/>
    <s v="Male"/>
    <n v="50"/>
    <n v="2"/>
    <n v="4"/>
    <x v="7"/>
    <n v="4"/>
    <s v="Divorced"/>
    <n v="16627"/>
    <n v="2671"/>
    <n v="4"/>
    <x v="0"/>
    <n v="14"/>
    <n v="3"/>
    <n v="3"/>
    <n v="1"/>
    <n v="21"/>
    <n v="3"/>
    <n v="2"/>
    <n v="1"/>
    <n v="0"/>
    <n v="0"/>
    <n v="0"/>
    <s v="40-49"/>
  </r>
  <r>
    <n v="38"/>
    <x v="1"/>
    <s v="Travel_Rarely"/>
    <n v="362"/>
    <x v="1"/>
    <n v="1"/>
    <n v="1"/>
    <s v="Life Sciences"/>
    <n v="662"/>
    <n v="3"/>
    <s v="Female"/>
    <n v="43"/>
    <n v="3"/>
    <n v="1"/>
    <x v="1"/>
    <n v="1"/>
    <s v="Single"/>
    <n v="2619"/>
    <n v="14561"/>
    <n v="3"/>
    <x v="1"/>
    <n v="17"/>
    <n v="3"/>
    <n v="4"/>
    <n v="0"/>
    <n v="8"/>
    <n v="3"/>
    <n v="2"/>
    <n v="0"/>
    <n v="0"/>
    <n v="0"/>
    <n v="0"/>
    <s v="30-39"/>
  </r>
  <r>
    <n v="43"/>
    <x v="1"/>
    <s v="Travel_Frequently"/>
    <n v="1001"/>
    <x v="1"/>
    <n v="9"/>
    <n v="5"/>
    <s v="Medical"/>
    <n v="663"/>
    <n v="4"/>
    <s v="Male"/>
    <n v="72"/>
    <n v="3"/>
    <n v="2"/>
    <x v="2"/>
    <n v="3"/>
    <s v="Divorced"/>
    <n v="5679"/>
    <n v="19627"/>
    <n v="3"/>
    <x v="0"/>
    <n v="13"/>
    <n v="3"/>
    <n v="2"/>
    <n v="1"/>
    <n v="10"/>
    <n v="3"/>
    <n v="3"/>
    <n v="8"/>
    <n v="7"/>
    <n v="4"/>
    <n v="7"/>
    <s v="40-49"/>
  </r>
  <r>
    <n v="48"/>
    <x v="1"/>
    <s v="Travel_Rarely"/>
    <n v="1236"/>
    <x v="1"/>
    <n v="1"/>
    <n v="4"/>
    <s v="Life Sciences"/>
    <n v="664"/>
    <n v="4"/>
    <s v="Female"/>
    <n v="40"/>
    <n v="2"/>
    <n v="4"/>
    <x v="5"/>
    <n v="1"/>
    <s v="Married"/>
    <n v="15402"/>
    <n v="17997"/>
    <n v="7"/>
    <x v="1"/>
    <n v="11"/>
    <n v="3"/>
    <n v="1"/>
    <n v="1"/>
    <n v="21"/>
    <n v="3"/>
    <n v="1"/>
    <n v="3"/>
    <n v="2"/>
    <n v="0"/>
    <n v="2"/>
    <s v="40-49"/>
  </r>
  <r>
    <n v="44"/>
    <x v="1"/>
    <s v="Travel_Rarely"/>
    <n v="1112"/>
    <x v="2"/>
    <n v="1"/>
    <n v="4"/>
    <s v="Life Sciences"/>
    <n v="665"/>
    <n v="1"/>
    <s v="Female"/>
    <n v="50"/>
    <n v="2"/>
    <n v="2"/>
    <x v="8"/>
    <n v="3"/>
    <s v="Single"/>
    <n v="5985"/>
    <n v="26894"/>
    <n v="4"/>
    <x v="1"/>
    <n v="11"/>
    <n v="3"/>
    <n v="2"/>
    <n v="0"/>
    <n v="10"/>
    <n v="1"/>
    <n v="4"/>
    <n v="2"/>
    <n v="2"/>
    <n v="0"/>
    <n v="2"/>
    <s v="40-49"/>
  </r>
  <r>
    <n v="34"/>
    <x v="1"/>
    <s v="Travel_Rarely"/>
    <n v="204"/>
    <x v="0"/>
    <n v="14"/>
    <n v="3"/>
    <s v="Technical Degree"/>
    <n v="666"/>
    <n v="3"/>
    <s v="Female"/>
    <n v="31"/>
    <n v="3"/>
    <n v="1"/>
    <x v="6"/>
    <n v="3"/>
    <s v="Divorced"/>
    <n v="2579"/>
    <n v="2912"/>
    <n v="1"/>
    <x v="0"/>
    <n v="18"/>
    <n v="3"/>
    <n v="4"/>
    <n v="2"/>
    <n v="8"/>
    <n v="3"/>
    <n v="3"/>
    <n v="8"/>
    <n v="2"/>
    <n v="0"/>
    <n v="6"/>
    <s v="30-39"/>
  </r>
  <r>
    <n v="27"/>
    <x v="0"/>
    <s v="Travel_Rarely"/>
    <n v="1420"/>
    <x v="0"/>
    <n v="2"/>
    <n v="1"/>
    <s v="Marketing"/>
    <n v="667"/>
    <n v="3"/>
    <s v="Male"/>
    <n v="85"/>
    <n v="3"/>
    <n v="1"/>
    <x v="6"/>
    <n v="1"/>
    <s v="Divorced"/>
    <n v="3041"/>
    <n v="16346"/>
    <n v="0"/>
    <x v="1"/>
    <n v="11"/>
    <n v="3"/>
    <n v="2"/>
    <n v="1"/>
    <n v="5"/>
    <n v="3"/>
    <n v="3"/>
    <n v="4"/>
    <n v="3"/>
    <n v="0"/>
    <n v="2"/>
    <s v="Below 30"/>
  </r>
  <r>
    <n v="21"/>
    <x v="1"/>
    <s v="Travel_Rarely"/>
    <n v="1343"/>
    <x v="0"/>
    <n v="22"/>
    <n v="1"/>
    <s v="Technical Degree"/>
    <n v="669"/>
    <n v="3"/>
    <s v="Male"/>
    <n v="49"/>
    <n v="3"/>
    <n v="1"/>
    <x v="6"/>
    <n v="3"/>
    <s v="Single"/>
    <n v="3447"/>
    <n v="24444"/>
    <n v="1"/>
    <x v="1"/>
    <n v="11"/>
    <n v="3"/>
    <n v="3"/>
    <n v="0"/>
    <n v="3"/>
    <n v="2"/>
    <n v="3"/>
    <n v="3"/>
    <n v="2"/>
    <n v="1"/>
    <n v="2"/>
    <s v="Below 30"/>
  </r>
  <r>
    <n v="44"/>
    <x v="1"/>
    <s v="Travel_Rarely"/>
    <n v="1315"/>
    <x v="1"/>
    <n v="3"/>
    <n v="4"/>
    <s v="Other"/>
    <n v="671"/>
    <n v="4"/>
    <s v="Male"/>
    <n v="35"/>
    <n v="3"/>
    <n v="5"/>
    <x v="5"/>
    <n v="4"/>
    <s v="Married"/>
    <n v="19513"/>
    <n v="9358"/>
    <n v="4"/>
    <x v="0"/>
    <n v="12"/>
    <n v="3"/>
    <n v="1"/>
    <n v="1"/>
    <n v="26"/>
    <n v="2"/>
    <n v="4"/>
    <n v="2"/>
    <n v="2"/>
    <n v="0"/>
    <n v="1"/>
    <s v="40-49"/>
  </r>
  <r>
    <n v="22"/>
    <x v="1"/>
    <s v="Travel_Rarely"/>
    <n v="604"/>
    <x v="1"/>
    <n v="6"/>
    <n v="1"/>
    <s v="Medical"/>
    <n v="675"/>
    <n v="1"/>
    <s v="Male"/>
    <n v="69"/>
    <n v="3"/>
    <n v="1"/>
    <x v="1"/>
    <n v="3"/>
    <s v="Married"/>
    <n v="2773"/>
    <n v="12145"/>
    <n v="0"/>
    <x v="1"/>
    <n v="20"/>
    <n v="4"/>
    <n v="4"/>
    <n v="0"/>
    <n v="3"/>
    <n v="3"/>
    <n v="3"/>
    <n v="2"/>
    <n v="2"/>
    <n v="2"/>
    <n v="2"/>
    <s v="Below 30"/>
  </r>
  <r>
    <n v="33"/>
    <x v="1"/>
    <s v="Travel_Rarely"/>
    <n v="1216"/>
    <x v="0"/>
    <n v="8"/>
    <n v="4"/>
    <s v="Marketing"/>
    <n v="677"/>
    <n v="3"/>
    <s v="Male"/>
    <n v="39"/>
    <n v="3"/>
    <n v="2"/>
    <x v="0"/>
    <n v="3"/>
    <s v="Divorced"/>
    <n v="7104"/>
    <n v="20431"/>
    <n v="0"/>
    <x v="1"/>
    <n v="12"/>
    <n v="3"/>
    <n v="4"/>
    <n v="0"/>
    <n v="6"/>
    <n v="3"/>
    <n v="3"/>
    <n v="5"/>
    <n v="0"/>
    <n v="1"/>
    <n v="2"/>
    <s v="30-39"/>
  </r>
  <r>
    <n v="32"/>
    <x v="1"/>
    <s v="Travel_Rarely"/>
    <n v="646"/>
    <x v="1"/>
    <n v="9"/>
    <n v="4"/>
    <s v="Life Sciences"/>
    <n v="679"/>
    <n v="1"/>
    <s v="Female"/>
    <n v="92"/>
    <n v="3"/>
    <n v="2"/>
    <x v="1"/>
    <n v="4"/>
    <s v="Married"/>
    <n v="6322"/>
    <n v="18089"/>
    <n v="1"/>
    <x v="0"/>
    <n v="12"/>
    <n v="3"/>
    <n v="4"/>
    <n v="1"/>
    <n v="6"/>
    <n v="2"/>
    <n v="2"/>
    <n v="6"/>
    <n v="4"/>
    <n v="0"/>
    <n v="5"/>
    <s v="30-39"/>
  </r>
  <r>
    <n v="30"/>
    <x v="1"/>
    <s v="Travel_Frequently"/>
    <n v="160"/>
    <x v="1"/>
    <n v="3"/>
    <n v="3"/>
    <s v="Medical"/>
    <n v="680"/>
    <n v="3"/>
    <s v="Female"/>
    <n v="71"/>
    <n v="3"/>
    <n v="1"/>
    <x v="1"/>
    <n v="3"/>
    <s v="Divorced"/>
    <n v="2083"/>
    <n v="22653"/>
    <n v="1"/>
    <x v="1"/>
    <n v="20"/>
    <n v="4"/>
    <n v="3"/>
    <n v="1"/>
    <n v="1"/>
    <n v="2"/>
    <n v="3"/>
    <n v="1"/>
    <n v="0"/>
    <n v="0"/>
    <n v="0"/>
    <s v="30-39"/>
  </r>
  <r>
    <n v="53"/>
    <x v="1"/>
    <s v="Travel_Rarely"/>
    <n v="238"/>
    <x v="0"/>
    <n v="1"/>
    <n v="1"/>
    <s v="Medical"/>
    <n v="682"/>
    <n v="4"/>
    <s v="Female"/>
    <n v="34"/>
    <n v="3"/>
    <n v="2"/>
    <x v="0"/>
    <n v="1"/>
    <s v="Single"/>
    <n v="8381"/>
    <n v="7507"/>
    <n v="7"/>
    <x v="1"/>
    <n v="20"/>
    <n v="4"/>
    <n v="4"/>
    <n v="0"/>
    <n v="18"/>
    <n v="2"/>
    <n v="4"/>
    <n v="14"/>
    <n v="7"/>
    <n v="8"/>
    <n v="10"/>
    <s v="50+"/>
  </r>
  <r>
    <n v="34"/>
    <x v="1"/>
    <s v="Travel_Rarely"/>
    <n v="1397"/>
    <x v="1"/>
    <n v="1"/>
    <n v="5"/>
    <s v="Life Sciences"/>
    <n v="683"/>
    <n v="2"/>
    <s v="Male"/>
    <n v="42"/>
    <n v="3"/>
    <n v="1"/>
    <x v="1"/>
    <n v="4"/>
    <s v="Married"/>
    <n v="2691"/>
    <n v="7660"/>
    <n v="1"/>
    <x v="1"/>
    <n v="12"/>
    <n v="3"/>
    <n v="4"/>
    <n v="1"/>
    <n v="10"/>
    <n v="4"/>
    <n v="2"/>
    <n v="10"/>
    <n v="9"/>
    <n v="8"/>
    <n v="8"/>
    <s v="30-39"/>
  </r>
  <r>
    <n v="45"/>
    <x v="0"/>
    <s v="Travel_Frequently"/>
    <n v="306"/>
    <x v="0"/>
    <n v="26"/>
    <n v="4"/>
    <s v="Life Sciences"/>
    <n v="684"/>
    <n v="1"/>
    <s v="Female"/>
    <n v="100"/>
    <n v="3"/>
    <n v="2"/>
    <x v="0"/>
    <n v="1"/>
    <s v="Married"/>
    <n v="4286"/>
    <n v="5630"/>
    <n v="2"/>
    <x v="1"/>
    <n v="14"/>
    <n v="3"/>
    <n v="4"/>
    <n v="2"/>
    <n v="5"/>
    <n v="4"/>
    <n v="3"/>
    <n v="1"/>
    <n v="1"/>
    <n v="0"/>
    <n v="0"/>
    <s v="40-49"/>
  </r>
  <r>
    <n v="26"/>
    <x v="1"/>
    <s v="Travel_Rarely"/>
    <n v="991"/>
    <x v="1"/>
    <n v="6"/>
    <n v="3"/>
    <s v="Life Sciences"/>
    <n v="686"/>
    <n v="3"/>
    <s v="Female"/>
    <n v="71"/>
    <n v="3"/>
    <n v="1"/>
    <x v="2"/>
    <n v="4"/>
    <s v="Married"/>
    <n v="2659"/>
    <n v="17759"/>
    <n v="1"/>
    <x v="0"/>
    <n v="13"/>
    <n v="3"/>
    <n v="3"/>
    <n v="1"/>
    <n v="3"/>
    <n v="2"/>
    <n v="3"/>
    <n v="3"/>
    <n v="2"/>
    <n v="0"/>
    <n v="2"/>
    <s v="Below 30"/>
  </r>
  <r>
    <n v="37"/>
    <x v="1"/>
    <s v="Travel_Rarely"/>
    <n v="482"/>
    <x v="1"/>
    <n v="3"/>
    <n v="3"/>
    <s v="Other"/>
    <n v="689"/>
    <n v="3"/>
    <s v="Male"/>
    <n v="36"/>
    <n v="3"/>
    <n v="3"/>
    <x v="3"/>
    <n v="3"/>
    <s v="Married"/>
    <n v="9434"/>
    <n v="9606"/>
    <n v="1"/>
    <x v="1"/>
    <n v="15"/>
    <n v="3"/>
    <n v="3"/>
    <n v="1"/>
    <n v="10"/>
    <n v="2"/>
    <n v="3"/>
    <n v="10"/>
    <n v="7"/>
    <n v="7"/>
    <n v="8"/>
    <s v="30-39"/>
  </r>
  <r>
    <n v="29"/>
    <x v="1"/>
    <s v="Travel_Rarely"/>
    <n v="1176"/>
    <x v="0"/>
    <n v="3"/>
    <n v="2"/>
    <s v="Medical"/>
    <n v="690"/>
    <n v="2"/>
    <s v="Female"/>
    <n v="62"/>
    <n v="3"/>
    <n v="2"/>
    <x v="0"/>
    <n v="3"/>
    <s v="Married"/>
    <n v="5561"/>
    <n v="3487"/>
    <n v="1"/>
    <x v="1"/>
    <n v="14"/>
    <n v="3"/>
    <n v="1"/>
    <n v="1"/>
    <n v="6"/>
    <n v="5"/>
    <n v="2"/>
    <n v="6"/>
    <n v="0"/>
    <n v="1"/>
    <n v="2"/>
    <s v="Below 30"/>
  </r>
  <r>
    <n v="35"/>
    <x v="1"/>
    <s v="Travel_Rarely"/>
    <n v="1017"/>
    <x v="1"/>
    <n v="6"/>
    <n v="4"/>
    <s v="Life Sciences"/>
    <n v="691"/>
    <n v="2"/>
    <s v="Male"/>
    <n v="82"/>
    <n v="1"/>
    <n v="2"/>
    <x v="1"/>
    <n v="4"/>
    <s v="Single"/>
    <n v="6646"/>
    <n v="19368"/>
    <n v="1"/>
    <x v="1"/>
    <n v="13"/>
    <n v="3"/>
    <n v="2"/>
    <n v="0"/>
    <n v="17"/>
    <n v="3"/>
    <n v="3"/>
    <n v="17"/>
    <n v="11"/>
    <n v="11"/>
    <n v="8"/>
    <s v="30-39"/>
  </r>
  <r>
    <n v="33"/>
    <x v="1"/>
    <s v="Travel_Frequently"/>
    <n v="1296"/>
    <x v="1"/>
    <n v="6"/>
    <n v="3"/>
    <s v="Life Sciences"/>
    <n v="692"/>
    <n v="3"/>
    <s v="Male"/>
    <n v="30"/>
    <n v="3"/>
    <n v="2"/>
    <x v="4"/>
    <n v="4"/>
    <s v="Divorced"/>
    <n v="7725"/>
    <n v="5335"/>
    <n v="3"/>
    <x v="1"/>
    <n v="23"/>
    <n v="4"/>
    <n v="3"/>
    <n v="1"/>
    <n v="15"/>
    <n v="2"/>
    <n v="1"/>
    <n v="13"/>
    <n v="11"/>
    <n v="4"/>
    <n v="7"/>
    <s v="30-39"/>
  </r>
  <r>
    <n v="54"/>
    <x v="1"/>
    <s v="Travel_Rarely"/>
    <n v="397"/>
    <x v="2"/>
    <n v="19"/>
    <n v="4"/>
    <s v="Medical"/>
    <n v="698"/>
    <n v="3"/>
    <s v="Male"/>
    <n v="88"/>
    <n v="3"/>
    <n v="3"/>
    <x v="8"/>
    <n v="2"/>
    <s v="Married"/>
    <n v="10725"/>
    <n v="6729"/>
    <n v="2"/>
    <x v="1"/>
    <n v="15"/>
    <n v="3"/>
    <n v="3"/>
    <n v="1"/>
    <n v="16"/>
    <n v="1"/>
    <n v="4"/>
    <n v="9"/>
    <n v="7"/>
    <n v="7"/>
    <n v="1"/>
    <s v="50+"/>
  </r>
  <r>
    <n v="36"/>
    <x v="1"/>
    <s v="Travel_Rarely"/>
    <n v="913"/>
    <x v="1"/>
    <n v="9"/>
    <n v="2"/>
    <s v="Medical"/>
    <n v="699"/>
    <n v="2"/>
    <s v="Male"/>
    <n v="48"/>
    <n v="2"/>
    <n v="2"/>
    <x v="3"/>
    <n v="2"/>
    <s v="Divorced"/>
    <n v="8847"/>
    <n v="13934"/>
    <n v="2"/>
    <x v="0"/>
    <n v="11"/>
    <n v="3"/>
    <n v="3"/>
    <n v="1"/>
    <n v="13"/>
    <n v="2"/>
    <n v="3"/>
    <n v="3"/>
    <n v="2"/>
    <n v="0"/>
    <n v="2"/>
    <s v="30-39"/>
  </r>
  <r>
    <n v="27"/>
    <x v="1"/>
    <s v="Travel_Rarely"/>
    <n v="1115"/>
    <x v="1"/>
    <n v="3"/>
    <n v="4"/>
    <s v="Medical"/>
    <n v="700"/>
    <n v="1"/>
    <s v="Male"/>
    <n v="54"/>
    <n v="2"/>
    <n v="1"/>
    <x v="1"/>
    <n v="4"/>
    <s v="Single"/>
    <n v="2045"/>
    <n v="15174"/>
    <n v="0"/>
    <x v="1"/>
    <n v="13"/>
    <n v="3"/>
    <n v="4"/>
    <n v="0"/>
    <n v="5"/>
    <n v="0"/>
    <n v="3"/>
    <n v="4"/>
    <n v="2"/>
    <n v="1"/>
    <n v="1"/>
    <s v="Below 30"/>
  </r>
  <r>
    <n v="20"/>
    <x v="0"/>
    <s v="Travel_Rarely"/>
    <n v="1362"/>
    <x v="1"/>
    <n v="10"/>
    <n v="1"/>
    <s v="Medical"/>
    <n v="701"/>
    <n v="4"/>
    <s v="Male"/>
    <n v="32"/>
    <n v="3"/>
    <n v="1"/>
    <x v="1"/>
    <n v="3"/>
    <s v="Single"/>
    <n v="1009"/>
    <n v="26999"/>
    <n v="1"/>
    <x v="0"/>
    <n v="11"/>
    <n v="3"/>
    <n v="4"/>
    <n v="0"/>
    <n v="1"/>
    <n v="5"/>
    <n v="3"/>
    <n v="1"/>
    <n v="0"/>
    <n v="1"/>
    <n v="1"/>
    <s v="Below 30"/>
  </r>
  <r>
    <n v="33"/>
    <x v="0"/>
    <s v="Travel_Frequently"/>
    <n v="1076"/>
    <x v="1"/>
    <n v="3"/>
    <n v="3"/>
    <s v="Life Sciences"/>
    <n v="702"/>
    <n v="1"/>
    <s v="Male"/>
    <n v="70"/>
    <n v="3"/>
    <n v="1"/>
    <x v="1"/>
    <n v="1"/>
    <s v="Single"/>
    <n v="3348"/>
    <n v="3164"/>
    <n v="1"/>
    <x v="0"/>
    <n v="11"/>
    <n v="3"/>
    <n v="1"/>
    <n v="0"/>
    <n v="10"/>
    <n v="3"/>
    <n v="3"/>
    <n v="10"/>
    <n v="8"/>
    <n v="9"/>
    <n v="7"/>
    <s v="30-39"/>
  </r>
  <r>
    <n v="35"/>
    <x v="1"/>
    <s v="Non-Travel"/>
    <n v="727"/>
    <x v="1"/>
    <n v="3"/>
    <n v="3"/>
    <s v="Life Sciences"/>
    <n v="704"/>
    <n v="3"/>
    <s v="Male"/>
    <n v="41"/>
    <n v="2"/>
    <n v="1"/>
    <x v="2"/>
    <n v="3"/>
    <s v="Married"/>
    <n v="1281"/>
    <n v="16900"/>
    <n v="1"/>
    <x v="1"/>
    <n v="18"/>
    <n v="3"/>
    <n v="3"/>
    <n v="2"/>
    <n v="1"/>
    <n v="3"/>
    <n v="3"/>
    <n v="1"/>
    <n v="0"/>
    <n v="0"/>
    <n v="0"/>
    <s v="30-39"/>
  </r>
  <r>
    <n v="23"/>
    <x v="1"/>
    <s v="Travel_Rarely"/>
    <n v="885"/>
    <x v="1"/>
    <n v="4"/>
    <n v="3"/>
    <s v="Medical"/>
    <n v="705"/>
    <n v="1"/>
    <s v="Male"/>
    <n v="58"/>
    <n v="4"/>
    <n v="1"/>
    <x v="1"/>
    <n v="1"/>
    <s v="Married"/>
    <n v="2819"/>
    <n v="8544"/>
    <n v="2"/>
    <x v="1"/>
    <n v="16"/>
    <n v="3"/>
    <n v="1"/>
    <n v="1"/>
    <n v="5"/>
    <n v="3"/>
    <n v="4"/>
    <n v="3"/>
    <n v="2"/>
    <n v="0"/>
    <n v="2"/>
    <s v="Below 30"/>
  </r>
  <r>
    <n v="25"/>
    <x v="1"/>
    <s v="Travel_Rarely"/>
    <n v="810"/>
    <x v="0"/>
    <n v="8"/>
    <n v="3"/>
    <s v="Life Sciences"/>
    <n v="707"/>
    <n v="4"/>
    <s v="Male"/>
    <n v="57"/>
    <n v="4"/>
    <n v="2"/>
    <x v="0"/>
    <n v="2"/>
    <s v="Married"/>
    <n v="4851"/>
    <n v="15678"/>
    <n v="0"/>
    <x v="1"/>
    <n v="22"/>
    <n v="4"/>
    <n v="3"/>
    <n v="1"/>
    <n v="4"/>
    <n v="4"/>
    <n v="3"/>
    <n v="3"/>
    <n v="2"/>
    <n v="1"/>
    <n v="2"/>
    <s v="Below 30"/>
  </r>
  <r>
    <n v="38"/>
    <x v="1"/>
    <s v="Travel_Rarely"/>
    <n v="243"/>
    <x v="0"/>
    <n v="7"/>
    <n v="4"/>
    <s v="Marketing"/>
    <n v="709"/>
    <n v="4"/>
    <s v="Female"/>
    <n v="46"/>
    <n v="2"/>
    <n v="2"/>
    <x v="0"/>
    <n v="4"/>
    <s v="Single"/>
    <n v="4028"/>
    <n v="7791"/>
    <n v="0"/>
    <x v="1"/>
    <n v="20"/>
    <n v="4"/>
    <n v="1"/>
    <n v="0"/>
    <n v="8"/>
    <n v="2"/>
    <n v="3"/>
    <n v="7"/>
    <n v="7"/>
    <n v="0"/>
    <n v="5"/>
    <s v="30-39"/>
  </r>
  <r>
    <n v="29"/>
    <x v="1"/>
    <s v="Travel_Frequently"/>
    <n v="806"/>
    <x v="1"/>
    <n v="1"/>
    <n v="4"/>
    <s v="Life Sciences"/>
    <n v="710"/>
    <n v="2"/>
    <s v="Male"/>
    <n v="76"/>
    <n v="1"/>
    <n v="1"/>
    <x v="1"/>
    <n v="4"/>
    <s v="Divorced"/>
    <n v="2720"/>
    <n v="18959"/>
    <n v="1"/>
    <x v="1"/>
    <n v="18"/>
    <n v="3"/>
    <n v="4"/>
    <n v="1"/>
    <n v="10"/>
    <n v="5"/>
    <n v="3"/>
    <n v="10"/>
    <n v="7"/>
    <n v="2"/>
    <n v="8"/>
    <s v="Below 30"/>
  </r>
  <r>
    <n v="48"/>
    <x v="1"/>
    <s v="Travel_Rarely"/>
    <n v="817"/>
    <x v="0"/>
    <n v="2"/>
    <n v="1"/>
    <s v="Marketing"/>
    <n v="712"/>
    <n v="2"/>
    <s v="Male"/>
    <n v="56"/>
    <n v="4"/>
    <n v="2"/>
    <x v="0"/>
    <n v="2"/>
    <s v="Married"/>
    <n v="8120"/>
    <n v="18597"/>
    <n v="3"/>
    <x v="1"/>
    <n v="12"/>
    <n v="3"/>
    <n v="4"/>
    <n v="0"/>
    <n v="12"/>
    <n v="3"/>
    <n v="3"/>
    <n v="2"/>
    <n v="2"/>
    <n v="2"/>
    <n v="2"/>
    <s v="40-49"/>
  </r>
  <r>
    <n v="27"/>
    <x v="1"/>
    <s v="Travel_Frequently"/>
    <n v="1410"/>
    <x v="0"/>
    <n v="3"/>
    <n v="1"/>
    <s v="Medical"/>
    <n v="714"/>
    <n v="4"/>
    <s v="Female"/>
    <n v="71"/>
    <n v="4"/>
    <n v="2"/>
    <x v="0"/>
    <n v="4"/>
    <s v="Divorced"/>
    <n v="4647"/>
    <n v="16673"/>
    <n v="1"/>
    <x v="0"/>
    <n v="20"/>
    <n v="4"/>
    <n v="2"/>
    <n v="2"/>
    <n v="6"/>
    <n v="3"/>
    <n v="3"/>
    <n v="6"/>
    <n v="5"/>
    <n v="0"/>
    <n v="4"/>
    <s v="Below 30"/>
  </r>
  <r>
    <n v="37"/>
    <x v="1"/>
    <s v="Travel_Rarely"/>
    <n v="1225"/>
    <x v="1"/>
    <n v="10"/>
    <n v="2"/>
    <s v="Life Sciences"/>
    <n v="715"/>
    <n v="4"/>
    <s v="Male"/>
    <n v="80"/>
    <n v="4"/>
    <n v="1"/>
    <x v="1"/>
    <n v="4"/>
    <s v="Single"/>
    <n v="4680"/>
    <n v="15232"/>
    <n v="3"/>
    <x v="1"/>
    <n v="17"/>
    <n v="3"/>
    <n v="1"/>
    <n v="0"/>
    <n v="4"/>
    <n v="2"/>
    <n v="3"/>
    <n v="1"/>
    <n v="0"/>
    <n v="0"/>
    <n v="0"/>
    <s v="30-39"/>
  </r>
  <r>
    <n v="50"/>
    <x v="1"/>
    <s v="Travel_Rarely"/>
    <n v="1207"/>
    <x v="1"/>
    <n v="28"/>
    <n v="1"/>
    <s v="Medical"/>
    <n v="716"/>
    <n v="4"/>
    <s v="Male"/>
    <n v="74"/>
    <n v="4"/>
    <n v="1"/>
    <x v="2"/>
    <n v="3"/>
    <s v="Married"/>
    <n v="3221"/>
    <n v="3297"/>
    <n v="1"/>
    <x v="0"/>
    <n v="11"/>
    <n v="3"/>
    <n v="3"/>
    <n v="3"/>
    <n v="20"/>
    <n v="3"/>
    <n v="3"/>
    <n v="20"/>
    <n v="8"/>
    <n v="3"/>
    <n v="8"/>
    <s v="50+"/>
  </r>
  <r>
    <n v="34"/>
    <x v="1"/>
    <s v="Travel_Rarely"/>
    <n v="1442"/>
    <x v="1"/>
    <n v="9"/>
    <n v="3"/>
    <s v="Medical"/>
    <n v="717"/>
    <n v="4"/>
    <s v="Female"/>
    <n v="46"/>
    <n v="2"/>
    <n v="3"/>
    <x v="4"/>
    <n v="2"/>
    <s v="Single"/>
    <n v="8621"/>
    <n v="17654"/>
    <n v="1"/>
    <x v="1"/>
    <n v="14"/>
    <n v="3"/>
    <n v="2"/>
    <n v="0"/>
    <n v="9"/>
    <n v="3"/>
    <n v="4"/>
    <n v="8"/>
    <n v="7"/>
    <n v="7"/>
    <n v="7"/>
    <s v="30-39"/>
  </r>
  <r>
    <n v="24"/>
    <x v="0"/>
    <s v="Travel_Rarely"/>
    <n v="693"/>
    <x v="0"/>
    <n v="3"/>
    <n v="2"/>
    <s v="Life Sciences"/>
    <n v="720"/>
    <n v="1"/>
    <s v="Female"/>
    <n v="65"/>
    <n v="3"/>
    <n v="2"/>
    <x v="0"/>
    <n v="3"/>
    <s v="Single"/>
    <n v="4577"/>
    <n v="24785"/>
    <n v="9"/>
    <x v="1"/>
    <n v="14"/>
    <n v="3"/>
    <n v="1"/>
    <n v="0"/>
    <n v="4"/>
    <n v="3"/>
    <n v="3"/>
    <n v="2"/>
    <n v="2"/>
    <n v="2"/>
    <n v="0"/>
    <s v="Below 30"/>
  </r>
  <r>
    <n v="39"/>
    <x v="1"/>
    <s v="Travel_Rarely"/>
    <n v="408"/>
    <x v="1"/>
    <n v="2"/>
    <n v="4"/>
    <s v="Technical Degree"/>
    <n v="721"/>
    <n v="4"/>
    <s v="Female"/>
    <n v="80"/>
    <n v="2"/>
    <n v="2"/>
    <x v="4"/>
    <n v="3"/>
    <s v="Single"/>
    <n v="4553"/>
    <n v="20978"/>
    <n v="1"/>
    <x v="1"/>
    <n v="11"/>
    <n v="3"/>
    <n v="1"/>
    <n v="0"/>
    <n v="20"/>
    <n v="4"/>
    <n v="3"/>
    <n v="20"/>
    <n v="7"/>
    <n v="11"/>
    <n v="10"/>
    <s v="30-39"/>
  </r>
  <r>
    <n v="32"/>
    <x v="1"/>
    <s v="Travel_Rarely"/>
    <n v="929"/>
    <x v="0"/>
    <n v="10"/>
    <n v="3"/>
    <s v="Marketing"/>
    <n v="722"/>
    <n v="4"/>
    <s v="Male"/>
    <n v="55"/>
    <n v="3"/>
    <n v="2"/>
    <x v="0"/>
    <n v="4"/>
    <s v="Single"/>
    <n v="5396"/>
    <n v="21703"/>
    <n v="1"/>
    <x v="1"/>
    <n v="12"/>
    <n v="3"/>
    <n v="4"/>
    <n v="0"/>
    <n v="10"/>
    <n v="2"/>
    <n v="2"/>
    <n v="10"/>
    <n v="7"/>
    <n v="0"/>
    <n v="8"/>
    <s v="30-39"/>
  </r>
  <r>
    <n v="50"/>
    <x v="0"/>
    <s v="Travel_Frequently"/>
    <n v="562"/>
    <x v="0"/>
    <n v="8"/>
    <n v="2"/>
    <s v="Technical Degree"/>
    <n v="723"/>
    <n v="2"/>
    <s v="Male"/>
    <n v="50"/>
    <n v="3"/>
    <n v="2"/>
    <x v="0"/>
    <n v="3"/>
    <s v="Married"/>
    <n v="6796"/>
    <n v="23452"/>
    <n v="3"/>
    <x v="0"/>
    <n v="14"/>
    <n v="3"/>
    <n v="1"/>
    <n v="1"/>
    <n v="18"/>
    <n v="4"/>
    <n v="3"/>
    <n v="4"/>
    <n v="3"/>
    <n v="1"/>
    <n v="3"/>
    <s v="50+"/>
  </r>
  <r>
    <n v="38"/>
    <x v="1"/>
    <s v="Travel_Rarely"/>
    <n v="827"/>
    <x v="1"/>
    <n v="1"/>
    <n v="4"/>
    <s v="Life Sciences"/>
    <n v="724"/>
    <n v="2"/>
    <s v="Female"/>
    <n v="33"/>
    <n v="4"/>
    <n v="2"/>
    <x v="4"/>
    <n v="4"/>
    <s v="Single"/>
    <n v="7625"/>
    <n v="19383"/>
    <n v="0"/>
    <x v="1"/>
    <n v="13"/>
    <n v="3"/>
    <n v="3"/>
    <n v="0"/>
    <n v="10"/>
    <n v="4"/>
    <n v="2"/>
    <n v="9"/>
    <n v="7"/>
    <n v="1"/>
    <n v="8"/>
    <s v="30-39"/>
  </r>
  <r>
    <n v="27"/>
    <x v="1"/>
    <s v="Travel_Rarely"/>
    <n v="608"/>
    <x v="1"/>
    <n v="1"/>
    <n v="2"/>
    <s v="Life Sciences"/>
    <n v="725"/>
    <n v="3"/>
    <s v="Female"/>
    <n v="68"/>
    <n v="3"/>
    <n v="3"/>
    <x v="3"/>
    <n v="1"/>
    <s v="Married"/>
    <n v="7412"/>
    <n v="6009"/>
    <n v="1"/>
    <x v="1"/>
    <n v="11"/>
    <n v="3"/>
    <n v="4"/>
    <n v="0"/>
    <n v="9"/>
    <n v="3"/>
    <n v="3"/>
    <n v="9"/>
    <n v="7"/>
    <n v="0"/>
    <n v="7"/>
    <s v="Below 30"/>
  </r>
  <r>
    <n v="32"/>
    <x v="1"/>
    <s v="Travel_Rarely"/>
    <n v="1018"/>
    <x v="1"/>
    <n v="3"/>
    <n v="2"/>
    <s v="Life Sciences"/>
    <n v="727"/>
    <n v="3"/>
    <s v="Female"/>
    <n v="39"/>
    <n v="3"/>
    <n v="3"/>
    <x v="7"/>
    <n v="4"/>
    <s v="Single"/>
    <n v="11159"/>
    <n v="19373"/>
    <n v="3"/>
    <x v="1"/>
    <n v="15"/>
    <n v="3"/>
    <n v="4"/>
    <n v="0"/>
    <n v="10"/>
    <n v="6"/>
    <n v="3"/>
    <n v="7"/>
    <n v="7"/>
    <n v="7"/>
    <n v="7"/>
    <s v="30-39"/>
  </r>
  <r>
    <n v="47"/>
    <x v="1"/>
    <s v="Travel_Rarely"/>
    <n v="703"/>
    <x v="0"/>
    <n v="14"/>
    <n v="4"/>
    <s v="Marketing"/>
    <n v="728"/>
    <n v="4"/>
    <s v="Male"/>
    <n v="42"/>
    <n v="3"/>
    <n v="2"/>
    <x v="0"/>
    <n v="1"/>
    <s v="Single"/>
    <n v="4960"/>
    <n v="11825"/>
    <n v="2"/>
    <x v="1"/>
    <n v="12"/>
    <n v="3"/>
    <n v="4"/>
    <n v="0"/>
    <n v="20"/>
    <n v="2"/>
    <n v="3"/>
    <n v="7"/>
    <n v="7"/>
    <n v="1"/>
    <n v="7"/>
    <s v="40-49"/>
  </r>
  <r>
    <n v="40"/>
    <x v="1"/>
    <s v="Travel_Frequently"/>
    <n v="580"/>
    <x v="0"/>
    <n v="5"/>
    <n v="4"/>
    <s v="Life Sciences"/>
    <n v="729"/>
    <n v="4"/>
    <s v="Male"/>
    <n v="48"/>
    <n v="2"/>
    <n v="3"/>
    <x v="0"/>
    <n v="1"/>
    <s v="Married"/>
    <n v="10475"/>
    <n v="23772"/>
    <n v="5"/>
    <x v="0"/>
    <n v="21"/>
    <n v="4"/>
    <n v="3"/>
    <n v="1"/>
    <n v="20"/>
    <n v="2"/>
    <n v="3"/>
    <n v="18"/>
    <n v="13"/>
    <n v="1"/>
    <n v="12"/>
    <s v="40-49"/>
  </r>
  <r>
    <n v="53"/>
    <x v="1"/>
    <s v="Travel_Rarely"/>
    <n v="970"/>
    <x v="1"/>
    <n v="7"/>
    <n v="3"/>
    <s v="Life Sciences"/>
    <n v="730"/>
    <n v="3"/>
    <s v="Male"/>
    <n v="59"/>
    <n v="4"/>
    <n v="4"/>
    <x v="7"/>
    <n v="3"/>
    <s v="Married"/>
    <n v="14814"/>
    <n v="13514"/>
    <n v="3"/>
    <x v="1"/>
    <n v="19"/>
    <n v="3"/>
    <n v="3"/>
    <n v="0"/>
    <n v="32"/>
    <n v="3"/>
    <n v="3"/>
    <n v="5"/>
    <n v="1"/>
    <n v="1"/>
    <n v="3"/>
    <s v="50+"/>
  </r>
  <r>
    <n v="41"/>
    <x v="1"/>
    <s v="Travel_Rarely"/>
    <n v="427"/>
    <x v="2"/>
    <n v="10"/>
    <n v="4"/>
    <s v="Human Resources"/>
    <n v="731"/>
    <n v="2"/>
    <s v="Male"/>
    <n v="73"/>
    <n v="2"/>
    <n v="5"/>
    <x v="5"/>
    <n v="4"/>
    <s v="Divorced"/>
    <n v="19141"/>
    <n v="8861"/>
    <n v="3"/>
    <x v="1"/>
    <n v="15"/>
    <n v="3"/>
    <n v="2"/>
    <n v="3"/>
    <n v="23"/>
    <n v="2"/>
    <n v="2"/>
    <n v="21"/>
    <n v="6"/>
    <n v="12"/>
    <n v="6"/>
    <s v="40-49"/>
  </r>
  <r>
    <n v="60"/>
    <x v="1"/>
    <s v="Travel_Rarely"/>
    <n v="1179"/>
    <x v="0"/>
    <n v="16"/>
    <n v="4"/>
    <s v="Marketing"/>
    <n v="732"/>
    <n v="1"/>
    <s v="Male"/>
    <n v="84"/>
    <n v="3"/>
    <n v="2"/>
    <x v="0"/>
    <n v="1"/>
    <s v="Single"/>
    <n v="5405"/>
    <n v="11924"/>
    <n v="8"/>
    <x v="1"/>
    <n v="14"/>
    <n v="3"/>
    <n v="4"/>
    <n v="0"/>
    <n v="10"/>
    <n v="1"/>
    <n v="3"/>
    <n v="2"/>
    <n v="2"/>
    <n v="2"/>
    <n v="2"/>
    <s v="50+"/>
  </r>
  <r>
    <n v="27"/>
    <x v="1"/>
    <s v="Travel_Frequently"/>
    <n v="294"/>
    <x v="1"/>
    <n v="10"/>
    <n v="2"/>
    <s v="Life Sciences"/>
    <n v="733"/>
    <n v="4"/>
    <s v="Male"/>
    <n v="32"/>
    <n v="3"/>
    <n v="3"/>
    <x v="3"/>
    <n v="1"/>
    <s v="Divorced"/>
    <n v="8793"/>
    <n v="4809"/>
    <n v="1"/>
    <x v="1"/>
    <n v="21"/>
    <n v="4"/>
    <n v="3"/>
    <n v="2"/>
    <n v="9"/>
    <n v="4"/>
    <n v="2"/>
    <n v="9"/>
    <n v="7"/>
    <n v="1"/>
    <n v="7"/>
    <s v="Below 30"/>
  </r>
  <r>
    <n v="41"/>
    <x v="1"/>
    <s v="Travel_Rarely"/>
    <n v="314"/>
    <x v="2"/>
    <n v="1"/>
    <n v="3"/>
    <s v="Human Resources"/>
    <n v="734"/>
    <n v="4"/>
    <s v="Male"/>
    <n v="59"/>
    <n v="2"/>
    <n v="5"/>
    <x v="5"/>
    <n v="3"/>
    <s v="Married"/>
    <n v="19189"/>
    <n v="19562"/>
    <n v="1"/>
    <x v="1"/>
    <n v="12"/>
    <n v="3"/>
    <n v="2"/>
    <n v="1"/>
    <n v="22"/>
    <n v="3"/>
    <n v="3"/>
    <n v="22"/>
    <n v="7"/>
    <n v="2"/>
    <n v="10"/>
    <s v="40-49"/>
  </r>
  <r>
    <n v="50"/>
    <x v="1"/>
    <s v="Travel_Rarely"/>
    <n v="316"/>
    <x v="0"/>
    <n v="8"/>
    <n v="4"/>
    <s v="Marketing"/>
    <n v="738"/>
    <n v="4"/>
    <s v="Male"/>
    <n v="54"/>
    <n v="3"/>
    <n v="1"/>
    <x v="6"/>
    <n v="2"/>
    <s v="Married"/>
    <n v="3875"/>
    <n v="9983"/>
    <n v="7"/>
    <x v="1"/>
    <n v="15"/>
    <n v="3"/>
    <n v="4"/>
    <n v="1"/>
    <n v="4"/>
    <n v="2"/>
    <n v="3"/>
    <n v="2"/>
    <n v="2"/>
    <n v="2"/>
    <n v="2"/>
    <s v="50+"/>
  </r>
  <r>
    <n v="28"/>
    <x v="0"/>
    <s v="Travel_Rarely"/>
    <n v="654"/>
    <x v="1"/>
    <n v="1"/>
    <n v="2"/>
    <s v="Life Sciences"/>
    <n v="741"/>
    <n v="1"/>
    <s v="Female"/>
    <n v="67"/>
    <n v="1"/>
    <n v="1"/>
    <x v="1"/>
    <n v="2"/>
    <s v="Single"/>
    <n v="2216"/>
    <n v="3872"/>
    <n v="7"/>
    <x v="0"/>
    <n v="13"/>
    <n v="3"/>
    <n v="4"/>
    <n v="0"/>
    <n v="10"/>
    <n v="4"/>
    <n v="3"/>
    <n v="7"/>
    <n v="7"/>
    <n v="3"/>
    <n v="7"/>
    <s v="Below 30"/>
  </r>
  <r>
    <n v="36"/>
    <x v="1"/>
    <s v="Non-Travel"/>
    <n v="427"/>
    <x v="1"/>
    <n v="8"/>
    <n v="3"/>
    <s v="Life Sciences"/>
    <n v="742"/>
    <n v="1"/>
    <s v="Female"/>
    <n v="63"/>
    <n v="4"/>
    <n v="3"/>
    <x v="7"/>
    <n v="1"/>
    <s v="Married"/>
    <n v="11713"/>
    <n v="20335"/>
    <n v="9"/>
    <x v="1"/>
    <n v="14"/>
    <n v="3"/>
    <n v="1"/>
    <n v="1"/>
    <n v="10"/>
    <n v="2"/>
    <n v="3"/>
    <n v="8"/>
    <n v="7"/>
    <n v="0"/>
    <n v="5"/>
    <s v="30-39"/>
  </r>
  <r>
    <n v="38"/>
    <x v="1"/>
    <s v="Travel_Rarely"/>
    <n v="168"/>
    <x v="1"/>
    <n v="1"/>
    <n v="3"/>
    <s v="Life Sciences"/>
    <n v="743"/>
    <n v="3"/>
    <s v="Female"/>
    <n v="81"/>
    <n v="3"/>
    <n v="3"/>
    <x v="3"/>
    <n v="3"/>
    <s v="Single"/>
    <n v="7861"/>
    <n v="15397"/>
    <n v="4"/>
    <x v="0"/>
    <n v="14"/>
    <n v="3"/>
    <n v="4"/>
    <n v="0"/>
    <n v="10"/>
    <n v="4"/>
    <n v="4"/>
    <n v="1"/>
    <n v="0"/>
    <n v="0"/>
    <n v="0"/>
    <s v="30-39"/>
  </r>
  <r>
    <n v="44"/>
    <x v="1"/>
    <s v="Non-Travel"/>
    <n v="381"/>
    <x v="1"/>
    <n v="24"/>
    <n v="3"/>
    <s v="Medical"/>
    <n v="744"/>
    <n v="1"/>
    <s v="Male"/>
    <n v="49"/>
    <n v="1"/>
    <n v="1"/>
    <x v="2"/>
    <n v="3"/>
    <s v="Single"/>
    <n v="3708"/>
    <n v="2104"/>
    <n v="2"/>
    <x v="1"/>
    <n v="14"/>
    <n v="3"/>
    <n v="3"/>
    <n v="0"/>
    <n v="9"/>
    <n v="5"/>
    <n v="3"/>
    <n v="5"/>
    <n v="2"/>
    <n v="1"/>
    <n v="4"/>
    <s v="40-49"/>
  </r>
  <r>
    <n v="47"/>
    <x v="1"/>
    <s v="Travel_Frequently"/>
    <n v="217"/>
    <x v="0"/>
    <n v="3"/>
    <n v="3"/>
    <s v="Medical"/>
    <n v="746"/>
    <n v="4"/>
    <s v="Female"/>
    <n v="49"/>
    <n v="3"/>
    <n v="4"/>
    <x v="0"/>
    <n v="3"/>
    <s v="Divorced"/>
    <n v="13770"/>
    <n v="10225"/>
    <n v="9"/>
    <x v="0"/>
    <n v="12"/>
    <n v="3"/>
    <n v="4"/>
    <n v="2"/>
    <n v="28"/>
    <n v="2"/>
    <n v="2"/>
    <n v="22"/>
    <n v="2"/>
    <n v="11"/>
    <n v="13"/>
    <s v="40-49"/>
  </r>
  <r>
    <n v="30"/>
    <x v="1"/>
    <s v="Travel_Rarely"/>
    <n v="501"/>
    <x v="0"/>
    <n v="27"/>
    <n v="5"/>
    <s v="Marketing"/>
    <n v="747"/>
    <n v="3"/>
    <s v="Male"/>
    <n v="99"/>
    <n v="3"/>
    <n v="2"/>
    <x v="0"/>
    <n v="4"/>
    <s v="Divorced"/>
    <n v="5304"/>
    <n v="25275"/>
    <n v="7"/>
    <x v="1"/>
    <n v="23"/>
    <n v="4"/>
    <n v="4"/>
    <n v="1"/>
    <n v="10"/>
    <n v="2"/>
    <n v="2"/>
    <n v="8"/>
    <n v="7"/>
    <n v="7"/>
    <n v="7"/>
    <s v="30-39"/>
  </r>
  <r>
    <n v="29"/>
    <x v="1"/>
    <s v="Travel_Rarely"/>
    <n v="1396"/>
    <x v="0"/>
    <n v="10"/>
    <n v="3"/>
    <s v="Life Sciences"/>
    <n v="749"/>
    <n v="3"/>
    <s v="Male"/>
    <n v="99"/>
    <n v="3"/>
    <n v="1"/>
    <x v="6"/>
    <n v="3"/>
    <s v="Single"/>
    <n v="2642"/>
    <n v="2755"/>
    <n v="1"/>
    <x v="1"/>
    <n v="11"/>
    <n v="3"/>
    <n v="3"/>
    <n v="0"/>
    <n v="1"/>
    <n v="6"/>
    <n v="3"/>
    <n v="1"/>
    <n v="0"/>
    <n v="0"/>
    <n v="0"/>
    <s v="Below 30"/>
  </r>
  <r>
    <n v="42"/>
    <x v="0"/>
    <s v="Travel_Frequently"/>
    <n v="933"/>
    <x v="1"/>
    <n v="19"/>
    <n v="3"/>
    <s v="Medical"/>
    <n v="752"/>
    <n v="3"/>
    <s v="Male"/>
    <n v="57"/>
    <n v="4"/>
    <n v="1"/>
    <x v="1"/>
    <n v="3"/>
    <s v="Divorced"/>
    <n v="2759"/>
    <n v="20366"/>
    <n v="6"/>
    <x v="0"/>
    <n v="12"/>
    <n v="3"/>
    <n v="4"/>
    <n v="0"/>
    <n v="7"/>
    <n v="2"/>
    <n v="3"/>
    <n v="2"/>
    <n v="2"/>
    <n v="2"/>
    <n v="2"/>
    <s v="40-49"/>
  </r>
  <r>
    <n v="43"/>
    <x v="1"/>
    <s v="Travel_Frequently"/>
    <n v="775"/>
    <x v="0"/>
    <n v="15"/>
    <n v="3"/>
    <s v="Life Sciences"/>
    <n v="754"/>
    <n v="4"/>
    <s v="Male"/>
    <n v="47"/>
    <n v="2"/>
    <n v="2"/>
    <x v="0"/>
    <n v="4"/>
    <s v="Married"/>
    <n v="6804"/>
    <n v="23683"/>
    <n v="3"/>
    <x v="1"/>
    <n v="18"/>
    <n v="3"/>
    <n v="3"/>
    <n v="1"/>
    <n v="7"/>
    <n v="5"/>
    <n v="3"/>
    <n v="2"/>
    <n v="2"/>
    <n v="2"/>
    <n v="2"/>
    <s v="40-49"/>
  </r>
  <r>
    <n v="34"/>
    <x v="1"/>
    <s v="Travel_Rarely"/>
    <n v="970"/>
    <x v="1"/>
    <n v="8"/>
    <n v="2"/>
    <s v="Medical"/>
    <n v="757"/>
    <n v="2"/>
    <s v="Female"/>
    <n v="96"/>
    <n v="3"/>
    <n v="2"/>
    <x v="4"/>
    <n v="3"/>
    <s v="Single"/>
    <n v="6142"/>
    <n v="7360"/>
    <n v="3"/>
    <x v="1"/>
    <n v="11"/>
    <n v="3"/>
    <n v="4"/>
    <n v="0"/>
    <n v="10"/>
    <n v="2"/>
    <n v="3"/>
    <n v="5"/>
    <n v="1"/>
    <n v="4"/>
    <n v="3"/>
    <s v="30-39"/>
  </r>
  <r>
    <n v="23"/>
    <x v="1"/>
    <s v="Travel_Rarely"/>
    <n v="650"/>
    <x v="1"/>
    <n v="9"/>
    <n v="1"/>
    <s v="Medical"/>
    <n v="758"/>
    <n v="2"/>
    <s v="Male"/>
    <n v="37"/>
    <n v="3"/>
    <n v="1"/>
    <x v="2"/>
    <n v="1"/>
    <s v="Married"/>
    <n v="2500"/>
    <n v="4344"/>
    <n v="1"/>
    <x v="1"/>
    <n v="14"/>
    <n v="3"/>
    <n v="4"/>
    <n v="1"/>
    <n v="5"/>
    <n v="2"/>
    <n v="4"/>
    <n v="4"/>
    <n v="3"/>
    <n v="0"/>
    <n v="2"/>
    <s v="Below 30"/>
  </r>
  <r>
    <n v="39"/>
    <x v="1"/>
    <s v="Travel_Rarely"/>
    <n v="141"/>
    <x v="2"/>
    <n v="3"/>
    <n v="3"/>
    <s v="Human Resources"/>
    <n v="760"/>
    <n v="3"/>
    <s v="Female"/>
    <n v="44"/>
    <n v="4"/>
    <n v="2"/>
    <x v="8"/>
    <n v="2"/>
    <s v="Married"/>
    <n v="6389"/>
    <n v="18767"/>
    <n v="9"/>
    <x v="1"/>
    <n v="15"/>
    <n v="3"/>
    <n v="3"/>
    <n v="1"/>
    <n v="12"/>
    <n v="3"/>
    <n v="1"/>
    <n v="8"/>
    <n v="3"/>
    <n v="3"/>
    <n v="6"/>
    <s v="30-39"/>
  </r>
  <r>
    <n v="56"/>
    <x v="1"/>
    <s v="Travel_Rarely"/>
    <n v="832"/>
    <x v="1"/>
    <n v="9"/>
    <n v="3"/>
    <s v="Medical"/>
    <n v="762"/>
    <n v="3"/>
    <s v="Male"/>
    <n v="81"/>
    <n v="3"/>
    <n v="4"/>
    <x v="4"/>
    <n v="4"/>
    <s v="Married"/>
    <n v="11103"/>
    <n v="20420"/>
    <n v="7"/>
    <x v="1"/>
    <n v="11"/>
    <n v="3"/>
    <n v="3"/>
    <n v="0"/>
    <n v="30"/>
    <n v="1"/>
    <n v="2"/>
    <n v="10"/>
    <n v="7"/>
    <n v="1"/>
    <n v="1"/>
    <s v="50+"/>
  </r>
  <r>
    <n v="40"/>
    <x v="1"/>
    <s v="Travel_Rarely"/>
    <n v="804"/>
    <x v="1"/>
    <n v="2"/>
    <n v="1"/>
    <s v="Medical"/>
    <n v="763"/>
    <n v="4"/>
    <s v="Female"/>
    <n v="86"/>
    <n v="2"/>
    <n v="1"/>
    <x v="1"/>
    <n v="4"/>
    <s v="Single"/>
    <n v="2342"/>
    <n v="22929"/>
    <n v="0"/>
    <x v="0"/>
    <n v="20"/>
    <n v="4"/>
    <n v="4"/>
    <n v="0"/>
    <n v="5"/>
    <n v="2"/>
    <n v="2"/>
    <n v="4"/>
    <n v="2"/>
    <n v="2"/>
    <n v="3"/>
    <s v="40-49"/>
  </r>
  <r>
    <n v="27"/>
    <x v="1"/>
    <s v="Travel_Rarely"/>
    <n v="975"/>
    <x v="1"/>
    <n v="7"/>
    <n v="3"/>
    <s v="Medical"/>
    <n v="764"/>
    <n v="4"/>
    <s v="Female"/>
    <n v="55"/>
    <n v="2"/>
    <n v="2"/>
    <x v="4"/>
    <n v="1"/>
    <s v="Single"/>
    <n v="6811"/>
    <n v="23398"/>
    <n v="8"/>
    <x v="1"/>
    <n v="19"/>
    <n v="3"/>
    <n v="1"/>
    <n v="0"/>
    <n v="9"/>
    <n v="2"/>
    <n v="1"/>
    <n v="7"/>
    <n v="6"/>
    <n v="0"/>
    <n v="7"/>
    <s v="Below 30"/>
  </r>
  <r>
    <n v="29"/>
    <x v="1"/>
    <s v="Travel_Rarely"/>
    <n v="1090"/>
    <x v="0"/>
    <n v="10"/>
    <n v="3"/>
    <s v="Marketing"/>
    <n v="766"/>
    <n v="4"/>
    <s v="Male"/>
    <n v="83"/>
    <n v="3"/>
    <n v="1"/>
    <x v="6"/>
    <n v="2"/>
    <s v="Divorced"/>
    <n v="2297"/>
    <n v="17967"/>
    <n v="1"/>
    <x v="1"/>
    <n v="14"/>
    <n v="3"/>
    <n v="4"/>
    <n v="2"/>
    <n v="2"/>
    <n v="2"/>
    <n v="3"/>
    <n v="2"/>
    <n v="2"/>
    <n v="2"/>
    <n v="2"/>
    <s v="Below 30"/>
  </r>
  <r>
    <n v="53"/>
    <x v="1"/>
    <s v="Travel_Rarely"/>
    <n v="346"/>
    <x v="1"/>
    <n v="6"/>
    <n v="3"/>
    <s v="Life Sciences"/>
    <n v="769"/>
    <n v="4"/>
    <s v="Male"/>
    <n v="86"/>
    <n v="3"/>
    <n v="2"/>
    <x v="2"/>
    <n v="4"/>
    <s v="Single"/>
    <n v="2450"/>
    <n v="10919"/>
    <n v="2"/>
    <x v="1"/>
    <n v="17"/>
    <n v="3"/>
    <n v="4"/>
    <n v="0"/>
    <n v="19"/>
    <n v="4"/>
    <n v="3"/>
    <n v="2"/>
    <n v="2"/>
    <n v="2"/>
    <n v="2"/>
    <s v="50+"/>
  </r>
  <r>
    <n v="35"/>
    <x v="1"/>
    <s v="Non-Travel"/>
    <n v="1225"/>
    <x v="1"/>
    <n v="2"/>
    <n v="4"/>
    <s v="Life Sciences"/>
    <n v="771"/>
    <n v="4"/>
    <s v="Female"/>
    <n v="61"/>
    <n v="3"/>
    <n v="2"/>
    <x v="4"/>
    <n v="1"/>
    <s v="Divorced"/>
    <n v="5093"/>
    <n v="4761"/>
    <n v="2"/>
    <x v="1"/>
    <n v="11"/>
    <n v="3"/>
    <n v="1"/>
    <n v="1"/>
    <n v="16"/>
    <n v="2"/>
    <n v="4"/>
    <n v="1"/>
    <n v="0"/>
    <n v="0"/>
    <n v="0"/>
    <s v="30-39"/>
  </r>
  <r>
    <n v="32"/>
    <x v="1"/>
    <s v="Travel_Frequently"/>
    <n v="430"/>
    <x v="1"/>
    <n v="24"/>
    <n v="4"/>
    <s v="Life Sciences"/>
    <n v="772"/>
    <n v="1"/>
    <s v="Male"/>
    <n v="80"/>
    <n v="3"/>
    <n v="2"/>
    <x v="2"/>
    <n v="4"/>
    <s v="Married"/>
    <n v="5309"/>
    <n v="21146"/>
    <n v="1"/>
    <x v="1"/>
    <n v="15"/>
    <n v="3"/>
    <n v="4"/>
    <n v="2"/>
    <n v="10"/>
    <n v="2"/>
    <n v="3"/>
    <n v="10"/>
    <n v="8"/>
    <n v="4"/>
    <n v="7"/>
    <s v="30-39"/>
  </r>
  <r>
    <n v="38"/>
    <x v="1"/>
    <s v="Travel_Rarely"/>
    <n v="268"/>
    <x v="1"/>
    <n v="2"/>
    <n v="5"/>
    <s v="Medical"/>
    <n v="773"/>
    <n v="4"/>
    <s v="Male"/>
    <n v="92"/>
    <n v="3"/>
    <n v="1"/>
    <x v="1"/>
    <n v="3"/>
    <s v="Married"/>
    <n v="3057"/>
    <n v="20471"/>
    <n v="6"/>
    <x v="0"/>
    <n v="13"/>
    <n v="3"/>
    <n v="2"/>
    <n v="1"/>
    <n v="6"/>
    <n v="0"/>
    <n v="1"/>
    <n v="1"/>
    <n v="0"/>
    <n v="0"/>
    <n v="1"/>
    <s v="30-39"/>
  </r>
  <r>
    <n v="34"/>
    <x v="1"/>
    <s v="Travel_Rarely"/>
    <n v="167"/>
    <x v="1"/>
    <n v="8"/>
    <n v="5"/>
    <s v="Life Sciences"/>
    <n v="775"/>
    <n v="2"/>
    <s v="Female"/>
    <n v="32"/>
    <n v="3"/>
    <n v="2"/>
    <x v="3"/>
    <n v="1"/>
    <s v="Divorced"/>
    <n v="5121"/>
    <n v="4187"/>
    <n v="3"/>
    <x v="1"/>
    <n v="14"/>
    <n v="3"/>
    <n v="3"/>
    <n v="1"/>
    <n v="7"/>
    <n v="3"/>
    <n v="3"/>
    <n v="0"/>
    <n v="0"/>
    <n v="0"/>
    <n v="0"/>
    <s v="30-39"/>
  </r>
  <r>
    <n v="52"/>
    <x v="1"/>
    <s v="Travel_Rarely"/>
    <n v="621"/>
    <x v="0"/>
    <n v="3"/>
    <n v="4"/>
    <s v="Marketing"/>
    <n v="776"/>
    <n v="3"/>
    <s v="Male"/>
    <n v="31"/>
    <n v="2"/>
    <n v="4"/>
    <x v="5"/>
    <n v="1"/>
    <s v="Married"/>
    <n v="16856"/>
    <n v="10084"/>
    <n v="1"/>
    <x v="1"/>
    <n v="11"/>
    <n v="3"/>
    <n v="1"/>
    <n v="0"/>
    <n v="34"/>
    <n v="3"/>
    <n v="4"/>
    <n v="34"/>
    <n v="6"/>
    <n v="1"/>
    <n v="16"/>
    <s v="50+"/>
  </r>
  <r>
    <n v="33"/>
    <x v="0"/>
    <s v="Travel_Rarely"/>
    <n v="527"/>
    <x v="1"/>
    <n v="1"/>
    <n v="4"/>
    <s v="Other"/>
    <n v="780"/>
    <n v="4"/>
    <s v="Male"/>
    <n v="63"/>
    <n v="3"/>
    <n v="1"/>
    <x v="1"/>
    <n v="4"/>
    <s v="Single"/>
    <n v="2686"/>
    <n v="5207"/>
    <n v="1"/>
    <x v="0"/>
    <n v="13"/>
    <n v="3"/>
    <n v="3"/>
    <n v="0"/>
    <n v="10"/>
    <n v="2"/>
    <n v="2"/>
    <n v="10"/>
    <n v="9"/>
    <n v="7"/>
    <n v="8"/>
    <s v="30-39"/>
  </r>
  <r>
    <n v="25"/>
    <x v="1"/>
    <s v="Travel_Rarely"/>
    <n v="883"/>
    <x v="0"/>
    <n v="26"/>
    <n v="1"/>
    <s v="Medical"/>
    <n v="781"/>
    <n v="3"/>
    <s v="Female"/>
    <n v="32"/>
    <n v="3"/>
    <n v="2"/>
    <x v="0"/>
    <n v="4"/>
    <s v="Single"/>
    <n v="6180"/>
    <n v="22807"/>
    <n v="1"/>
    <x v="1"/>
    <n v="23"/>
    <n v="4"/>
    <n v="2"/>
    <n v="0"/>
    <n v="6"/>
    <n v="5"/>
    <n v="2"/>
    <n v="6"/>
    <n v="5"/>
    <n v="1"/>
    <n v="4"/>
    <s v="Below 30"/>
  </r>
  <r>
    <n v="45"/>
    <x v="1"/>
    <s v="Travel_Rarely"/>
    <n v="954"/>
    <x v="0"/>
    <n v="2"/>
    <n v="2"/>
    <s v="Technical Degree"/>
    <n v="783"/>
    <n v="2"/>
    <s v="Male"/>
    <n v="46"/>
    <n v="1"/>
    <n v="2"/>
    <x v="6"/>
    <n v="3"/>
    <s v="Single"/>
    <n v="6632"/>
    <n v="12388"/>
    <n v="0"/>
    <x v="1"/>
    <n v="13"/>
    <n v="3"/>
    <n v="1"/>
    <n v="0"/>
    <n v="9"/>
    <n v="3"/>
    <n v="3"/>
    <n v="8"/>
    <n v="7"/>
    <n v="3"/>
    <n v="1"/>
    <s v="40-49"/>
  </r>
  <r>
    <n v="23"/>
    <x v="1"/>
    <s v="Travel_Rarely"/>
    <n v="310"/>
    <x v="1"/>
    <n v="10"/>
    <n v="1"/>
    <s v="Medical"/>
    <n v="784"/>
    <n v="1"/>
    <s v="Male"/>
    <n v="79"/>
    <n v="4"/>
    <n v="1"/>
    <x v="1"/>
    <n v="3"/>
    <s v="Single"/>
    <n v="3505"/>
    <n v="19630"/>
    <n v="1"/>
    <x v="1"/>
    <n v="18"/>
    <n v="3"/>
    <n v="4"/>
    <n v="0"/>
    <n v="2"/>
    <n v="3"/>
    <n v="3"/>
    <n v="2"/>
    <n v="2"/>
    <n v="0"/>
    <n v="2"/>
    <s v="Below 30"/>
  </r>
  <r>
    <n v="47"/>
    <x v="0"/>
    <s v="Travel_Frequently"/>
    <n v="719"/>
    <x v="0"/>
    <n v="27"/>
    <n v="2"/>
    <s v="Life Sciences"/>
    <n v="785"/>
    <n v="2"/>
    <s v="Female"/>
    <n v="77"/>
    <n v="4"/>
    <n v="2"/>
    <x v="0"/>
    <n v="3"/>
    <s v="Single"/>
    <n v="6397"/>
    <n v="10339"/>
    <n v="4"/>
    <x v="0"/>
    <n v="12"/>
    <n v="3"/>
    <n v="4"/>
    <n v="0"/>
    <n v="8"/>
    <n v="2"/>
    <n v="3"/>
    <n v="5"/>
    <n v="4"/>
    <n v="1"/>
    <n v="3"/>
    <s v="40-49"/>
  </r>
  <r>
    <n v="34"/>
    <x v="1"/>
    <s v="Travel_Rarely"/>
    <n v="304"/>
    <x v="0"/>
    <n v="2"/>
    <n v="3"/>
    <s v="Other"/>
    <n v="786"/>
    <n v="4"/>
    <s v="Male"/>
    <n v="60"/>
    <n v="3"/>
    <n v="2"/>
    <x v="0"/>
    <n v="4"/>
    <s v="Single"/>
    <n v="6274"/>
    <n v="18686"/>
    <n v="1"/>
    <x v="1"/>
    <n v="22"/>
    <n v="4"/>
    <n v="3"/>
    <n v="0"/>
    <n v="6"/>
    <n v="5"/>
    <n v="3"/>
    <n v="6"/>
    <n v="5"/>
    <n v="1"/>
    <n v="4"/>
    <s v="30-39"/>
  </r>
  <r>
    <n v="55"/>
    <x v="0"/>
    <s v="Travel_Rarely"/>
    <n v="725"/>
    <x v="1"/>
    <n v="2"/>
    <n v="3"/>
    <s v="Medical"/>
    <n v="787"/>
    <n v="4"/>
    <s v="Male"/>
    <n v="78"/>
    <n v="3"/>
    <n v="5"/>
    <x v="5"/>
    <n v="1"/>
    <s v="Married"/>
    <n v="19859"/>
    <n v="21199"/>
    <n v="5"/>
    <x v="0"/>
    <n v="13"/>
    <n v="3"/>
    <n v="4"/>
    <n v="1"/>
    <n v="24"/>
    <n v="2"/>
    <n v="3"/>
    <n v="5"/>
    <n v="2"/>
    <n v="1"/>
    <n v="4"/>
    <s v="50+"/>
  </r>
  <r>
    <n v="36"/>
    <x v="1"/>
    <s v="Non-Travel"/>
    <n v="1434"/>
    <x v="0"/>
    <n v="8"/>
    <n v="4"/>
    <s v="Life Sciences"/>
    <n v="789"/>
    <n v="1"/>
    <s v="Male"/>
    <n v="76"/>
    <n v="2"/>
    <n v="3"/>
    <x v="0"/>
    <n v="1"/>
    <s v="Single"/>
    <n v="7587"/>
    <n v="14229"/>
    <n v="1"/>
    <x v="1"/>
    <n v="15"/>
    <n v="3"/>
    <n v="2"/>
    <n v="0"/>
    <n v="10"/>
    <n v="1"/>
    <n v="3"/>
    <n v="10"/>
    <n v="7"/>
    <n v="0"/>
    <n v="9"/>
    <s v="30-39"/>
  </r>
  <r>
    <n v="52"/>
    <x v="1"/>
    <s v="Non-Travel"/>
    <n v="715"/>
    <x v="1"/>
    <n v="19"/>
    <n v="4"/>
    <s v="Medical"/>
    <n v="791"/>
    <n v="4"/>
    <s v="Male"/>
    <n v="41"/>
    <n v="3"/>
    <n v="1"/>
    <x v="1"/>
    <n v="4"/>
    <s v="Married"/>
    <n v="4258"/>
    <n v="26589"/>
    <n v="0"/>
    <x v="1"/>
    <n v="18"/>
    <n v="3"/>
    <n v="1"/>
    <n v="1"/>
    <n v="5"/>
    <n v="3"/>
    <n v="3"/>
    <n v="4"/>
    <n v="3"/>
    <n v="1"/>
    <n v="2"/>
    <s v="50+"/>
  </r>
  <r>
    <n v="26"/>
    <x v="1"/>
    <s v="Travel_Frequently"/>
    <n v="575"/>
    <x v="1"/>
    <n v="1"/>
    <n v="2"/>
    <s v="Life Sciences"/>
    <n v="792"/>
    <n v="1"/>
    <s v="Female"/>
    <n v="71"/>
    <n v="1"/>
    <n v="1"/>
    <x v="2"/>
    <n v="4"/>
    <s v="Divorced"/>
    <n v="4364"/>
    <n v="5288"/>
    <n v="3"/>
    <x v="1"/>
    <n v="14"/>
    <n v="3"/>
    <n v="1"/>
    <n v="1"/>
    <n v="5"/>
    <n v="2"/>
    <n v="3"/>
    <n v="2"/>
    <n v="2"/>
    <n v="2"/>
    <n v="0"/>
    <s v="Below 30"/>
  </r>
  <r>
    <n v="29"/>
    <x v="1"/>
    <s v="Travel_Rarely"/>
    <n v="657"/>
    <x v="1"/>
    <n v="27"/>
    <n v="3"/>
    <s v="Medical"/>
    <n v="793"/>
    <n v="2"/>
    <s v="Female"/>
    <n v="66"/>
    <n v="3"/>
    <n v="2"/>
    <x v="4"/>
    <n v="3"/>
    <s v="Married"/>
    <n v="4335"/>
    <n v="25549"/>
    <n v="4"/>
    <x v="1"/>
    <n v="12"/>
    <n v="3"/>
    <n v="1"/>
    <n v="1"/>
    <n v="11"/>
    <n v="3"/>
    <n v="2"/>
    <n v="8"/>
    <n v="7"/>
    <n v="1"/>
    <n v="1"/>
    <s v="Below 30"/>
  </r>
  <r>
    <n v="26"/>
    <x v="0"/>
    <s v="Travel_Rarely"/>
    <n v="1146"/>
    <x v="0"/>
    <n v="8"/>
    <n v="3"/>
    <s v="Technical Degree"/>
    <n v="796"/>
    <n v="4"/>
    <s v="Male"/>
    <n v="38"/>
    <n v="2"/>
    <n v="2"/>
    <x v="0"/>
    <n v="1"/>
    <s v="Single"/>
    <n v="5326"/>
    <n v="3064"/>
    <n v="6"/>
    <x v="1"/>
    <n v="17"/>
    <n v="3"/>
    <n v="3"/>
    <n v="0"/>
    <n v="6"/>
    <n v="2"/>
    <n v="2"/>
    <n v="4"/>
    <n v="3"/>
    <n v="1"/>
    <n v="2"/>
    <s v="Below 30"/>
  </r>
  <r>
    <n v="34"/>
    <x v="1"/>
    <s v="Travel_Rarely"/>
    <n v="182"/>
    <x v="1"/>
    <n v="1"/>
    <n v="4"/>
    <s v="Life Sciences"/>
    <n v="797"/>
    <n v="2"/>
    <s v="Female"/>
    <n v="72"/>
    <n v="4"/>
    <n v="1"/>
    <x v="1"/>
    <n v="4"/>
    <s v="Single"/>
    <n v="3280"/>
    <n v="13551"/>
    <n v="2"/>
    <x v="1"/>
    <n v="16"/>
    <n v="3"/>
    <n v="3"/>
    <n v="0"/>
    <n v="10"/>
    <n v="2"/>
    <n v="3"/>
    <n v="4"/>
    <n v="2"/>
    <n v="1"/>
    <n v="3"/>
    <s v="30-39"/>
  </r>
  <r>
    <n v="54"/>
    <x v="1"/>
    <s v="Travel_Rarely"/>
    <n v="376"/>
    <x v="1"/>
    <n v="19"/>
    <n v="4"/>
    <s v="Medical"/>
    <n v="799"/>
    <n v="4"/>
    <s v="Female"/>
    <n v="95"/>
    <n v="3"/>
    <n v="2"/>
    <x v="3"/>
    <n v="1"/>
    <s v="Divorced"/>
    <n v="5485"/>
    <n v="22670"/>
    <n v="9"/>
    <x v="0"/>
    <n v="11"/>
    <n v="3"/>
    <n v="2"/>
    <n v="2"/>
    <n v="9"/>
    <n v="4"/>
    <n v="3"/>
    <n v="5"/>
    <n v="3"/>
    <n v="1"/>
    <n v="4"/>
    <s v="50+"/>
  </r>
  <r>
    <n v="27"/>
    <x v="1"/>
    <s v="Travel_Frequently"/>
    <n v="829"/>
    <x v="0"/>
    <n v="8"/>
    <n v="1"/>
    <s v="Marketing"/>
    <n v="800"/>
    <n v="3"/>
    <s v="Male"/>
    <n v="84"/>
    <n v="3"/>
    <n v="2"/>
    <x v="0"/>
    <n v="4"/>
    <s v="Married"/>
    <n v="4342"/>
    <n v="24008"/>
    <n v="0"/>
    <x v="1"/>
    <n v="19"/>
    <n v="3"/>
    <n v="2"/>
    <n v="1"/>
    <n v="5"/>
    <n v="3"/>
    <n v="3"/>
    <n v="4"/>
    <n v="2"/>
    <n v="1"/>
    <n v="1"/>
    <s v="Below 30"/>
  </r>
  <r>
    <n v="37"/>
    <x v="1"/>
    <s v="Travel_Rarely"/>
    <n v="571"/>
    <x v="1"/>
    <n v="10"/>
    <n v="1"/>
    <s v="Life Sciences"/>
    <n v="802"/>
    <n v="4"/>
    <s v="Female"/>
    <n v="82"/>
    <n v="3"/>
    <n v="1"/>
    <x v="1"/>
    <n v="1"/>
    <s v="Divorced"/>
    <n v="2782"/>
    <n v="19905"/>
    <n v="0"/>
    <x v="0"/>
    <n v="13"/>
    <n v="3"/>
    <n v="2"/>
    <n v="2"/>
    <n v="6"/>
    <n v="3"/>
    <n v="2"/>
    <n v="5"/>
    <n v="3"/>
    <n v="4"/>
    <n v="3"/>
    <s v="30-39"/>
  </r>
  <r>
    <n v="38"/>
    <x v="1"/>
    <s v="Travel_Frequently"/>
    <n v="240"/>
    <x v="1"/>
    <n v="2"/>
    <n v="4"/>
    <s v="Life Sciences"/>
    <n v="803"/>
    <n v="1"/>
    <s v="Female"/>
    <n v="75"/>
    <n v="4"/>
    <n v="2"/>
    <x v="3"/>
    <n v="1"/>
    <s v="Single"/>
    <n v="5980"/>
    <n v="26085"/>
    <n v="6"/>
    <x v="0"/>
    <n v="12"/>
    <n v="3"/>
    <n v="4"/>
    <n v="0"/>
    <n v="17"/>
    <n v="2"/>
    <n v="3"/>
    <n v="15"/>
    <n v="7"/>
    <n v="4"/>
    <n v="12"/>
    <s v="30-39"/>
  </r>
  <r>
    <n v="34"/>
    <x v="1"/>
    <s v="Travel_Rarely"/>
    <n v="121"/>
    <x v="1"/>
    <n v="2"/>
    <n v="4"/>
    <s v="Medical"/>
    <n v="804"/>
    <n v="3"/>
    <s v="Female"/>
    <n v="86"/>
    <n v="2"/>
    <n v="1"/>
    <x v="1"/>
    <n v="1"/>
    <s v="Single"/>
    <n v="4381"/>
    <n v="7530"/>
    <n v="1"/>
    <x v="1"/>
    <n v="11"/>
    <n v="3"/>
    <n v="3"/>
    <n v="0"/>
    <n v="6"/>
    <n v="3"/>
    <n v="3"/>
    <n v="6"/>
    <n v="5"/>
    <n v="1"/>
    <n v="3"/>
    <s v="30-39"/>
  </r>
  <r>
    <n v="35"/>
    <x v="1"/>
    <s v="Travel_Rarely"/>
    <n v="384"/>
    <x v="0"/>
    <n v="8"/>
    <n v="4"/>
    <s v="Life Sciences"/>
    <n v="805"/>
    <n v="1"/>
    <s v="Female"/>
    <n v="72"/>
    <n v="3"/>
    <n v="1"/>
    <x v="6"/>
    <n v="4"/>
    <s v="Married"/>
    <n v="2572"/>
    <n v="20317"/>
    <n v="1"/>
    <x v="1"/>
    <n v="16"/>
    <n v="3"/>
    <n v="2"/>
    <n v="1"/>
    <n v="3"/>
    <n v="1"/>
    <n v="2"/>
    <n v="3"/>
    <n v="2"/>
    <n v="0"/>
    <n v="2"/>
    <s v="30-39"/>
  </r>
  <r>
    <n v="30"/>
    <x v="1"/>
    <s v="Travel_Rarely"/>
    <n v="921"/>
    <x v="1"/>
    <n v="1"/>
    <n v="3"/>
    <s v="Life Sciences"/>
    <n v="806"/>
    <n v="4"/>
    <s v="Male"/>
    <n v="38"/>
    <n v="1"/>
    <n v="1"/>
    <x v="2"/>
    <n v="3"/>
    <s v="Married"/>
    <n v="3833"/>
    <n v="24375"/>
    <n v="3"/>
    <x v="1"/>
    <n v="21"/>
    <n v="4"/>
    <n v="3"/>
    <n v="2"/>
    <n v="7"/>
    <n v="2"/>
    <n v="3"/>
    <n v="2"/>
    <n v="2"/>
    <n v="0"/>
    <n v="2"/>
    <s v="30-39"/>
  </r>
  <r>
    <n v="40"/>
    <x v="1"/>
    <s v="Travel_Frequently"/>
    <n v="791"/>
    <x v="1"/>
    <n v="2"/>
    <n v="2"/>
    <s v="Medical"/>
    <n v="807"/>
    <n v="3"/>
    <s v="Female"/>
    <n v="38"/>
    <n v="4"/>
    <n v="2"/>
    <x v="4"/>
    <n v="2"/>
    <s v="Married"/>
    <n v="4244"/>
    <n v="9931"/>
    <n v="1"/>
    <x v="1"/>
    <n v="24"/>
    <n v="4"/>
    <n v="4"/>
    <n v="1"/>
    <n v="8"/>
    <n v="2"/>
    <n v="3"/>
    <n v="8"/>
    <n v="7"/>
    <n v="3"/>
    <n v="7"/>
    <s v="40-49"/>
  </r>
  <r>
    <n v="34"/>
    <x v="1"/>
    <s v="Travel_Rarely"/>
    <n v="1111"/>
    <x v="0"/>
    <n v="8"/>
    <n v="2"/>
    <s v="Life Sciences"/>
    <n v="808"/>
    <n v="3"/>
    <s v="Female"/>
    <n v="93"/>
    <n v="3"/>
    <n v="2"/>
    <x v="0"/>
    <n v="1"/>
    <s v="Married"/>
    <n v="6500"/>
    <n v="13305"/>
    <n v="5"/>
    <x v="1"/>
    <n v="17"/>
    <n v="3"/>
    <n v="2"/>
    <n v="1"/>
    <n v="6"/>
    <n v="1"/>
    <n v="3"/>
    <n v="3"/>
    <n v="2"/>
    <n v="1"/>
    <n v="2"/>
    <s v="30-39"/>
  </r>
  <r>
    <n v="42"/>
    <x v="1"/>
    <s v="Travel_Frequently"/>
    <n v="570"/>
    <x v="1"/>
    <n v="8"/>
    <n v="3"/>
    <s v="Life Sciences"/>
    <n v="809"/>
    <n v="2"/>
    <s v="Male"/>
    <n v="66"/>
    <n v="3"/>
    <n v="5"/>
    <x v="5"/>
    <n v="4"/>
    <s v="Divorced"/>
    <n v="18430"/>
    <n v="16225"/>
    <n v="1"/>
    <x v="1"/>
    <n v="13"/>
    <n v="3"/>
    <n v="2"/>
    <n v="1"/>
    <n v="24"/>
    <n v="4"/>
    <n v="2"/>
    <n v="24"/>
    <n v="7"/>
    <n v="14"/>
    <n v="9"/>
    <s v="40-49"/>
  </r>
  <r>
    <n v="23"/>
    <x v="0"/>
    <s v="Travel_Rarely"/>
    <n v="1243"/>
    <x v="1"/>
    <n v="6"/>
    <n v="3"/>
    <s v="Life Sciences"/>
    <n v="811"/>
    <n v="3"/>
    <s v="Male"/>
    <n v="63"/>
    <n v="4"/>
    <n v="1"/>
    <x v="2"/>
    <n v="1"/>
    <s v="Married"/>
    <n v="1601"/>
    <n v="3445"/>
    <n v="1"/>
    <x v="0"/>
    <n v="21"/>
    <n v="4"/>
    <n v="3"/>
    <n v="2"/>
    <n v="1"/>
    <n v="2"/>
    <n v="3"/>
    <n v="0"/>
    <n v="0"/>
    <n v="0"/>
    <n v="0"/>
    <s v="Below 30"/>
  </r>
  <r>
    <n v="24"/>
    <x v="1"/>
    <s v="Non-Travel"/>
    <n v="1092"/>
    <x v="1"/>
    <n v="9"/>
    <n v="3"/>
    <s v="Life Sciences"/>
    <n v="812"/>
    <n v="3"/>
    <s v="Male"/>
    <n v="60"/>
    <n v="2"/>
    <n v="1"/>
    <x v="2"/>
    <n v="2"/>
    <s v="Divorced"/>
    <n v="2694"/>
    <n v="26551"/>
    <n v="1"/>
    <x v="1"/>
    <n v="11"/>
    <n v="3"/>
    <n v="3"/>
    <n v="3"/>
    <n v="1"/>
    <n v="4"/>
    <n v="3"/>
    <n v="1"/>
    <n v="0"/>
    <n v="0"/>
    <n v="0"/>
    <s v="Below 30"/>
  </r>
  <r>
    <n v="52"/>
    <x v="1"/>
    <s v="Travel_Rarely"/>
    <n v="1325"/>
    <x v="1"/>
    <n v="11"/>
    <n v="4"/>
    <s v="Life Sciences"/>
    <n v="813"/>
    <n v="4"/>
    <s v="Female"/>
    <n v="82"/>
    <n v="3"/>
    <n v="2"/>
    <x v="2"/>
    <n v="3"/>
    <s v="Married"/>
    <n v="3149"/>
    <n v="21821"/>
    <n v="8"/>
    <x v="1"/>
    <n v="20"/>
    <n v="4"/>
    <n v="2"/>
    <n v="1"/>
    <n v="9"/>
    <n v="3"/>
    <n v="3"/>
    <n v="5"/>
    <n v="2"/>
    <n v="1"/>
    <n v="4"/>
    <s v="50+"/>
  </r>
  <r>
    <n v="50"/>
    <x v="1"/>
    <s v="Travel_Rarely"/>
    <n v="691"/>
    <x v="1"/>
    <n v="2"/>
    <n v="3"/>
    <s v="Medical"/>
    <n v="815"/>
    <n v="3"/>
    <s v="Male"/>
    <n v="64"/>
    <n v="3"/>
    <n v="4"/>
    <x v="7"/>
    <n v="3"/>
    <s v="Married"/>
    <n v="17639"/>
    <n v="6881"/>
    <n v="5"/>
    <x v="1"/>
    <n v="16"/>
    <n v="3"/>
    <n v="4"/>
    <n v="0"/>
    <n v="30"/>
    <n v="3"/>
    <n v="3"/>
    <n v="4"/>
    <n v="3"/>
    <n v="0"/>
    <n v="3"/>
    <s v="50+"/>
  </r>
  <r>
    <n v="29"/>
    <x v="0"/>
    <s v="Travel_Rarely"/>
    <n v="805"/>
    <x v="1"/>
    <n v="1"/>
    <n v="2"/>
    <s v="Life Sciences"/>
    <n v="816"/>
    <n v="2"/>
    <s v="Female"/>
    <n v="36"/>
    <n v="2"/>
    <n v="1"/>
    <x v="2"/>
    <n v="1"/>
    <s v="Married"/>
    <n v="2319"/>
    <n v="6689"/>
    <n v="1"/>
    <x v="0"/>
    <n v="11"/>
    <n v="3"/>
    <n v="4"/>
    <n v="1"/>
    <n v="1"/>
    <n v="1"/>
    <n v="3"/>
    <n v="1"/>
    <n v="0"/>
    <n v="0"/>
    <n v="0"/>
    <s v="Below 30"/>
  </r>
  <r>
    <n v="33"/>
    <x v="1"/>
    <s v="Travel_Rarely"/>
    <n v="213"/>
    <x v="1"/>
    <n v="7"/>
    <n v="3"/>
    <s v="Medical"/>
    <n v="817"/>
    <n v="3"/>
    <s v="Male"/>
    <n v="49"/>
    <n v="3"/>
    <n v="3"/>
    <x v="7"/>
    <n v="3"/>
    <s v="Married"/>
    <n v="11691"/>
    <n v="25995"/>
    <n v="0"/>
    <x v="1"/>
    <n v="11"/>
    <n v="3"/>
    <n v="4"/>
    <n v="0"/>
    <n v="14"/>
    <n v="3"/>
    <n v="4"/>
    <n v="13"/>
    <n v="9"/>
    <n v="3"/>
    <n v="7"/>
    <s v="30-39"/>
  </r>
  <r>
    <n v="33"/>
    <x v="0"/>
    <s v="Travel_Rarely"/>
    <n v="118"/>
    <x v="0"/>
    <n v="16"/>
    <n v="3"/>
    <s v="Marketing"/>
    <n v="819"/>
    <n v="1"/>
    <s v="Female"/>
    <n v="69"/>
    <n v="3"/>
    <n v="2"/>
    <x v="0"/>
    <n v="1"/>
    <s v="Single"/>
    <n v="5324"/>
    <n v="26507"/>
    <n v="5"/>
    <x v="1"/>
    <n v="15"/>
    <n v="3"/>
    <n v="3"/>
    <n v="0"/>
    <n v="6"/>
    <n v="3"/>
    <n v="3"/>
    <n v="3"/>
    <n v="2"/>
    <n v="0"/>
    <n v="2"/>
    <s v="30-39"/>
  </r>
  <r>
    <n v="47"/>
    <x v="1"/>
    <s v="Travel_Rarely"/>
    <n v="202"/>
    <x v="1"/>
    <n v="2"/>
    <n v="2"/>
    <s v="Other"/>
    <n v="820"/>
    <n v="3"/>
    <s v="Female"/>
    <n v="33"/>
    <n v="3"/>
    <n v="4"/>
    <x v="5"/>
    <n v="4"/>
    <s v="Married"/>
    <n v="16752"/>
    <n v="12982"/>
    <n v="1"/>
    <x v="0"/>
    <n v="11"/>
    <n v="3"/>
    <n v="3"/>
    <n v="1"/>
    <n v="26"/>
    <n v="3"/>
    <n v="2"/>
    <n v="26"/>
    <n v="14"/>
    <n v="3"/>
    <n v="0"/>
    <s v="40-49"/>
  </r>
  <r>
    <n v="36"/>
    <x v="1"/>
    <s v="Travel_Rarely"/>
    <n v="676"/>
    <x v="1"/>
    <n v="1"/>
    <n v="3"/>
    <s v="Other"/>
    <n v="823"/>
    <n v="3"/>
    <s v="Female"/>
    <n v="35"/>
    <n v="3"/>
    <n v="2"/>
    <x v="3"/>
    <n v="2"/>
    <s v="Married"/>
    <n v="5228"/>
    <n v="23361"/>
    <n v="0"/>
    <x v="1"/>
    <n v="15"/>
    <n v="3"/>
    <n v="1"/>
    <n v="1"/>
    <n v="10"/>
    <n v="2"/>
    <n v="3"/>
    <n v="9"/>
    <n v="7"/>
    <n v="0"/>
    <n v="5"/>
    <s v="30-39"/>
  </r>
  <r>
    <n v="29"/>
    <x v="1"/>
    <s v="Travel_Rarely"/>
    <n v="1252"/>
    <x v="1"/>
    <n v="23"/>
    <n v="2"/>
    <s v="Life Sciences"/>
    <n v="824"/>
    <n v="3"/>
    <s v="Male"/>
    <n v="81"/>
    <n v="4"/>
    <n v="1"/>
    <x v="1"/>
    <n v="3"/>
    <s v="Married"/>
    <n v="2700"/>
    <n v="23779"/>
    <n v="1"/>
    <x v="1"/>
    <n v="24"/>
    <n v="4"/>
    <n v="3"/>
    <n v="1"/>
    <n v="10"/>
    <n v="3"/>
    <n v="3"/>
    <n v="10"/>
    <n v="7"/>
    <n v="0"/>
    <n v="7"/>
    <s v="Below 30"/>
  </r>
  <r>
    <n v="58"/>
    <x v="0"/>
    <s v="Travel_Rarely"/>
    <n v="286"/>
    <x v="1"/>
    <n v="2"/>
    <n v="4"/>
    <s v="Life Sciences"/>
    <n v="825"/>
    <n v="4"/>
    <s v="Male"/>
    <n v="31"/>
    <n v="3"/>
    <n v="5"/>
    <x v="7"/>
    <n v="2"/>
    <s v="Single"/>
    <n v="19246"/>
    <n v="25761"/>
    <n v="7"/>
    <x v="0"/>
    <n v="12"/>
    <n v="3"/>
    <n v="4"/>
    <n v="0"/>
    <n v="40"/>
    <n v="2"/>
    <n v="3"/>
    <n v="31"/>
    <n v="15"/>
    <n v="13"/>
    <n v="8"/>
    <s v="50+"/>
  </r>
  <r>
    <n v="35"/>
    <x v="1"/>
    <s v="Travel_Rarely"/>
    <n v="1258"/>
    <x v="1"/>
    <n v="1"/>
    <n v="4"/>
    <s v="Life Sciences"/>
    <n v="826"/>
    <n v="4"/>
    <s v="Female"/>
    <n v="40"/>
    <n v="4"/>
    <n v="1"/>
    <x v="1"/>
    <n v="3"/>
    <s v="Single"/>
    <n v="2506"/>
    <n v="13301"/>
    <n v="3"/>
    <x v="1"/>
    <n v="13"/>
    <n v="3"/>
    <n v="3"/>
    <n v="0"/>
    <n v="7"/>
    <n v="0"/>
    <n v="3"/>
    <n v="2"/>
    <n v="2"/>
    <n v="2"/>
    <n v="2"/>
    <s v="30-39"/>
  </r>
  <r>
    <n v="42"/>
    <x v="1"/>
    <s v="Travel_Rarely"/>
    <n v="932"/>
    <x v="1"/>
    <n v="1"/>
    <n v="2"/>
    <s v="Life Sciences"/>
    <n v="827"/>
    <n v="4"/>
    <s v="Female"/>
    <n v="43"/>
    <n v="2"/>
    <n v="2"/>
    <x v="3"/>
    <n v="4"/>
    <s v="Married"/>
    <n v="6062"/>
    <n v="4051"/>
    <n v="9"/>
    <x v="0"/>
    <n v="13"/>
    <n v="3"/>
    <n v="4"/>
    <n v="1"/>
    <n v="8"/>
    <n v="4"/>
    <n v="3"/>
    <n v="4"/>
    <n v="3"/>
    <n v="0"/>
    <n v="2"/>
    <s v="40-49"/>
  </r>
  <r>
    <n v="28"/>
    <x v="0"/>
    <s v="Travel_Rarely"/>
    <n v="890"/>
    <x v="1"/>
    <n v="2"/>
    <n v="4"/>
    <s v="Medical"/>
    <n v="828"/>
    <n v="3"/>
    <s v="Male"/>
    <n v="46"/>
    <n v="3"/>
    <n v="1"/>
    <x v="1"/>
    <n v="3"/>
    <s v="Single"/>
    <n v="4382"/>
    <n v="16374"/>
    <n v="6"/>
    <x v="1"/>
    <n v="17"/>
    <n v="3"/>
    <n v="4"/>
    <n v="0"/>
    <n v="5"/>
    <n v="3"/>
    <n v="2"/>
    <n v="2"/>
    <n v="2"/>
    <n v="2"/>
    <n v="1"/>
    <s v="Below 30"/>
  </r>
  <r>
    <n v="36"/>
    <x v="1"/>
    <s v="Travel_Rarely"/>
    <n v="1041"/>
    <x v="2"/>
    <n v="13"/>
    <n v="3"/>
    <s v="Human Resources"/>
    <n v="829"/>
    <n v="3"/>
    <s v="Male"/>
    <n v="36"/>
    <n v="3"/>
    <n v="1"/>
    <x v="8"/>
    <n v="2"/>
    <s v="Married"/>
    <n v="2143"/>
    <n v="25527"/>
    <n v="4"/>
    <x v="1"/>
    <n v="13"/>
    <n v="3"/>
    <n v="2"/>
    <n v="1"/>
    <n v="8"/>
    <n v="2"/>
    <n v="3"/>
    <n v="5"/>
    <n v="2"/>
    <n v="0"/>
    <n v="4"/>
    <s v="30-39"/>
  </r>
  <r>
    <n v="32"/>
    <x v="1"/>
    <s v="Travel_Rarely"/>
    <n v="859"/>
    <x v="1"/>
    <n v="4"/>
    <n v="3"/>
    <s v="Life Sciences"/>
    <n v="830"/>
    <n v="3"/>
    <s v="Female"/>
    <n v="98"/>
    <n v="2"/>
    <n v="2"/>
    <x v="3"/>
    <n v="3"/>
    <s v="Married"/>
    <n v="6162"/>
    <n v="19124"/>
    <n v="1"/>
    <x v="1"/>
    <n v="12"/>
    <n v="3"/>
    <n v="3"/>
    <n v="1"/>
    <n v="14"/>
    <n v="3"/>
    <n v="3"/>
    <n v="14"/>
    <n v="13"/>
    <n v="6"/>
    <n v="8"/>
    <s v="30-39"/>
  </r>
  <r>
    <n v="40"/>
    <x v="1"/>
    <s v="Travel_Frequently"/>
    <n v="720"/>
    <x v="1"/>
    <n v="16"/>
    <n v="4"/>
    <s v="Medical"/>
    <n v="832"/>
    <n v="1"/>
    <s v="Male"/>
    <n v="51"/>
    <n v="2"/>
    <n v="2"/>
    <x v="2"/>
    <n v="3"/>
    <s v="Single"/>
    <n v="5094"/>
    <n v="11983"/>
    <n v="6"/>
    <x v="1"/>
    <n v="14"/>
    <n v="3"/>
    <n v="4"/>
    <n v="0"/>
    <n v="10"/>
    <n v="6"/>
    <n v="3"/>
    <n v="1"/>
    <n v="0"/>
    <n v="0"/>
    <n v="0"/>
    <s v="40-49"/>
  </r>
  <r>
    <n v="30"/>
    <x v="1"/>
    <s v="Travel_Rarely"/>
    <n v="946"/>
    <x v="1"/>
    <n v="2"/>
    <n v="3"/>
    <s v="Medical"/>
    <n v="833"/>
    <n v="3"/>
    <s v="Female"/>
    <n v="52"/>
    <n v="2"/>
    <n v="2"/>
    <x v="3"/>
    <n v="4"/>
    <s v="Single"/>
    <n v="6877"/>
    <n v="20234"/>
    <n v="5"/>
    <x v="0"/>
    <n v="24"/>
    <n v="4"/>
    <n v="2"/>
    <n v="0"/>
    <n v="12"/>
    <n v="4"/>
    <n v="2"/>
    <n v="0"/>
    <n v="0"/>
    <n v="0"/>
    <n v="0"/>
    <s v="30-39"/>
  </r>
  <r>
    <n v="45"/>
    <x v="1"/>
    <s v="Travel_Rarely"/>
    <n v="252"/>
    <x v="1"/>
    <n v="2"/>
    <n v="3"/>
    <s v="Life Sciences"/>
    <n v="834"/>
    <n v="2"/>
    <s v="Female"/>
    <n v="95"/>
    <n v="2"/>
    <n v="1"/>
    <x v="1"/>
    <n v="3"/>
    <s v="Single"/>
    <n v="2274"/>
    <n v="6153"/>
    <n v="1"/>
    <x v="1"/>
    <n v="14"/>
    <n v="3"/>
    <n v="4"/>
    <n v="0"/>
    <n v="1"/>
    <n v="3"/>
    <n v="3"/>
    <n v="1"/>
    <n v="0"/>
    <n v="0"/>
    <n v="0"/>
    <s v="40-49"/>
  </r>
  <r>
    <n v="42"/>
    <x v="1"/>
    <s v="Travel_Rarely"/>
    <n v="933"/>
    <x v="1"/>
    <n v="29"/>
    <n v="3"/>
    <s v="Life Sciences"/>
    <n v="836"/>
    <n v="2"/>
    <s v="Male"/>
    <n v="98"/>
    <n v="3"/>
    <n v="2"/>
    <x v="3"/>
    <n v="2"/>
    <s v="Married"/>
    <n v="4434"/>
    <n v="11806"/>
    <n v="1"/>
    <x v="1"/>
    <n v="13"/>
    <n v="3"/>
    <n v="4"/>
    <n v="1"/>
    <n v="10"/>
    <n v="3"/>
    <n v="2"/>
    <n v="9"/>
    <n v="8"/>
    <n v="7"/>
    <n v="8"/>
    <s v="40-49"/>
  </r>
  <r>
    <n v="38"/>
    <x v="1"/>
    <s v="Travel_Frequently"/>
    <n v="471"/>
    <x v="1"/>
    <n v="12"/>
    <n v="3"/>
    <s v="Life Sciences"/>
    <n v="837"/>
    <n v="1"/>
    <s v="Male"/>
    <n v="45"/>
    <n v="2"/>
    <n v="2"/>
    <x v="4"/>
    <n v="1"/>
    <s v="Divorced"/>
    <n v="6288"/>
    <n v="4284"/>
    <n v="2"/>
    <x v="1"/>
    <n v="15"/>
    <n v="3"/>
    <n v="3"/>
    <n v="1"/>
    <n v="13"/>
    <n v="3"/>
    <n v="2"/>
    <n v="4"/>
    <n v="3"/>
    <n v="1"/>
    <n v="2"/>
    <s v="30-39"/>
  </r>
  <r>
    <n v="34"/>
    <x v="1"/>
    <s v="Travel_Frequently"/>
    <n v="702"/>
    <x v="1"/>
    <n v="16"/>
    <n v="4"/>
    <s v="Life Sciences"/>
    <n v="838"/>
    <n v="3"/>
    <s v="Female"/>
    <n v="100"/>
    <n v="2"/>
    <n v="1"/>
    <x v="1"/>
    <n v="4"/>
    <s v="Single"/>
    <n v="2553"/>
    <n v="8306"/>
    <n v="1"/>
    <x v="1"/>
    <n v="16"/>
    <n v="3"/>
    <n v="3"/>
    <n v="0"/>
    <n v="6"/>
    <n v="3"/>
    <n v="3"/>
    <n v="5"/>
    <n v="2"/>
    <n v="1"/>
    <n v="3"/>
    <s v="30-39"/>
  </r>
  <r>
    <n v="49"/>
    <x v="0"/>
    <s v="Travel_Rarely"/>
    <n v="1184"/>
    <x v="0"/>
    <n v="11"/>
    <n v="3"/>
    <s v="Marketing"/>
    <n v="840"/>
    <n v="3"/>
    <s v="Female"/>
    <n v="43"/>
    <n v="3"/>
    <n v="3"/>
    <x v="0"/>
    <n v="4"/>
    <s v="Married"/>
    <n v="7654"/>
    <n v="5860"/>
    <n v="1"/>
    <x v="1"/>
    <n v="18"/>
    <n v="3"/>
    <n v="1"/>
    <n v="2"/>
    <n v="9"/>
    <n v="3"/>
    <n v="4"/>
    <n v="9"/>
    <n v="8"/>
    <n v="7"/>
    <n v="7"/>
    <s v="40-49"/>
  </r>
  <r>
    <n v="55"/>
    <x v="0"/>
    <s v="Travel_Rarely"/>
    <n v="436"/>
    <x v="0"/>
    <n v="2"/>
    <n v="1"/>
    <s v="Medical"/>
    <n v="842"/>
    <n v="3"/>
    <s v="Male"/>
    <n v="37"/>
    <n v="3"/>
    <n v="2"/>
    <x v="0"/>
    <n v="4"/>
    <s v="Single"/>
    <n v="5160"/>
    <n v="21519"/>
    <n v="4"/>
    <x v="1"/>
    <n v="16"/>
    <n v="3"/>
    <n v="3"/>
    <n v="0"/>
    <n v="12"/>
    <n v="3"/>
    <n v="2"/>
    <n v="9"/>
    <n v="7"/>
    <n v="7"/>
    <n v="3"/>
    <s v="50+"/>
  </r>
  <r>
    <n v="43"/>
    <x v="1"/>
    <s v="Travel_Rarely"/>
    <n v="589"/>
    <x v="1"/>
    <n v="14"/>
    <n v="2"/>
    <s v="Life Sciences"/>
    <n v="843"/>
    <n v="2"/>
    <s v="Male"/>
    <n v="94"/>
    <n v="3"/>
    <n v="4"/>
    <x v="7"/>
    <n v="1"/>
    <s v="Married"/>
    <n v="17159"/>
    <n v="5200"/>
    <n v="6"/>
    <x v="1"/>
    <n v="24"/>
    <n v="4"/>
    <n v="3"/>
    <n v="1"/>
    <n v="22"/>
    <n v="3"/>
    <n v="3"/>
    <n v="4"/>
    <n v="1"/>
    <n v="1"/>
    <n v="0"/>
    <s v="40-49"/>
  </r>
  <r>
    <n v="27"/>
    <x v="1"/>
    <s v="Travel_Rarely"/>
    <n v="269"/>
    <x v="1"/>
    <n v="5"/>
    <n v="1"/>
    <s v="Technical Degree"/>
    <n v="844"/>
    <n v="3"/>
    <s v="Male"/>
    <n v="42"/>
    <n v="2"/>
    <n v="3"/>
    <x v="7"/>
    <n v="4"/>
    <s v="Divorced"/>
    <n v="12808"/>
    <n v="8842"/>
    <n v="1"/>
    <x v="0"/>
    <n v="16"/>
    <n v="3"/>
    <n v="2"/>
    <n v="1"/>
    <n v="9"/>
    <n v="3"/>
    <n v="3"/>
    <n v="9"/>
    <n v="8"/>
    <n v="0"/>
    <n v="8"/>
    <s v="Below 30"/>
  </r>
  <r>
    <n v="35"/>
    <x v="1"/>
    <s v="Travel_Rarely"/>
    <n v="950"/>
    <x v="1"/>
    <n v="7"/>
    <n v="3"/>
    <s v="Other"/>
    <n v="845"/>
    <n v="3"/>
    <s v="Male"/>
    <n v="59"/>
    <n v="3"/>
    <n v="3"/>
    <x v="3"/>
    <n v="3"/>
    <s v="Single"/>
    <n v="10221"/>
    <n v="18869"/>
    <n v="3"/>
    <x v="1"/>
    <n v="21"/>
    <n v="4"/>
    <n v="2"/>
    <n v="0"/>
    <n v="17"/>
    <n v="3"/>
    <n v="4"/>
    <n v="8"/>
    <n v="5"/>
    <n v="1"/>
    <n v="6"/>
    <s v="30-39"/>
  </r>
  <r>
    <n v="28"/>
    <x v="1"/>
    <s v="Travel_Rarely"/>
    <n v="760"/>
    <x v="0"/>
    <n v="2"/>
    <n v="4"/>
    <s v="Marketing"/>
    <n v="846"/>
    <n v="2"/>
    <s v="Female"/>
    <n v="81"/>
    <n v="3"/>
    <n v="2"/>
    <x v="0"/>
    <n v="2"/>
    <s v="Married"/>
    <n v="4779"/>
    <n v="3698"/>
    <n v="1"/>
    <x v="0"/>
    <n v="20"/>
    <n v="4"/>
    <n v="1"/>
    <n v="0"/>
    <n v="8"/>
    <n v="2"/>
    <n v="3"/>
    <n v="8"/>
    <n v="7"/>
    <n v="7"/>
    <n v="5"/>
    <s v="Below 30"/>
  </r>
  <r>
    <n v="34"/>
    <x v="1"/>
    <s v="Travel_Rarely"/>
    <n v="829"/>
    <x v="2"/>
    <n v="3"/>
    <n v="2"/>
    <s v="Human Resources"/>
    <n v="847"/>
    <n v="3"/>
    <s v="Male"/>
    <n v="88"/>
    <n v="3"/>
    <n v="1"/>
    <x v="8"/>
    <n v="4"/>
    <s v="Married"/>
    <n v="3737"/>
    <n v="2243"/>
    <n v="0"/>
    <x v="1"/>
    <n v="19"/>
    <n v="3"/>
    <n v="3"/>
    <n v="1"/>
    <n v="4"/>
    <n v="1"/>
    <n v="1"/>
    <n v="3"/>
    <n v="2"/>
    <n v="0"/>
    <n v="2"/>
    <s v="30-39"/>
  </r>
  <r>
    <n v="26"/>
    <x v="0"/>
    <s v="Travel_Frequently"/>
    <n v="887"/>
    <x v="1"/>
    <n v="5"/>
    <n v="2"/>
    <s v="Medical"/>
    <n v="848"/>
    <n v="3"/>
    <s v="Female"/>
    <n v="88"/>
    <n v="2"/>
    <n v="1"/>
    <x v="1"/>
    <n v="3"/>
    <s v="Married"/>
    <n v="2366"/>
    <n v="20898"/>
    <n v="1"/>
    <x v="0"/>
    <n v="14"/>
    <n v="3"/>
    <n v="1"/>
    <n v="1"/>
    <n v="8"/>
    <n v="2"/>
    <n v="3"/>
    <n v="8"/>
    <n v="7"/>
    <n v="1"/>
    <n v="7"/>
    <s v="Below 30"/>
  </r>
  <r>
    <n v="27"/>
    <x v="1"/>
    <s v="Non-Travel"/>
    <n v="443"/>
    <x v="1"/>
    <n v="3"/>
    <n v="3"/>
    <s v="Medical"/>
    <n v="850"/>
    <n v="4"/>
    <s v="Male"/>
    <n v="50"/>
    <n v="3"/>
    <n v="1"/>
    <x v="1"/>
    <n v="4"/>
    <s v="Married"/>
    <n v="1706"/>
    <n v="16571"/>
    <n v="1"/>
    <x v="1"/>
    <n v="11"/>
    <n v="3"/>
    <n v="3"/>
    <n v="3"/>
    <n v="0"/>
    <n v="6"/>
    <n v="2"/>
    <n v="0"/>
    <n v="0"/>
    <n v="0"/>
    <n v="0"/>
    <s v="Below 30"/>
  </r>
  <r>
    <n v="51"/>
    <x v="1"/>
    <s v="Travel_Rarely"/>
    <n v="1318"/>
    <x v="0"/>
    <n v="26"/>
    <n v="4"/>
    <s v="Marketing"/>
    <n v="851"/>
    <n v="1"/>
    <s v="Female"/>
    <n v="66"/>
    <n v="3"/>
    <n v="4"/>
    <x v="5"/>
    <n v="3"/>
    <s v="Married"/>
    <n v="16307"/>
    <n v="5594"/>
    <n v="2"/>
    <x v="1"/>
    <n v="14"/>
    <n v="3"/>
    <n v="3"/>
    <n v="1"/>
    <n v="29"/>
    <n v="2"/>
    <n v="2"/>
    <n v="20"/>
    <n v="6"/>
    <n v="4"/>
    <n v="17"/>
    <s v="50+"/>
  </r>
  <r>
    <n v="44"/>
    <x v="1"/>
    <s v="Travel_Rarely"/>
    <n v="625"/>
    <x v="1"/>
    <n v="4"/>
    <n v="3"/>
    <s v="Medical"/>
    <n v="852"/>
    <n v="4"/>
    <s v="Male"/>
    <n v="50"/>
    <n v="3"/>
    <n v="2"/>
    <x v="4"/>
    <n v="2"/>
    <s v="Single"/>
    <n v="5933"/>
    <n v="5197"/>
    <n v="9"/>
    <x v="1"/>
    <n v="12"/>
    <n v="3"/>
    <n v="4"/>
    <n v="0"/>
    <n v="10"/>
    <n v="2"/>
    <n v="2"/>
    <n v="5"/>
    <n v="2"/>
    <n v="2"/>
    <n v="3"/>
    <s v="40-49"/>
  </r>
  <r>
    <n v="25"/>
    <x v="1"/>
    <s v="Travel_Rarely"/>
    <n v="180"/>
    <x v="1"/>
    <n v="2"/>
    <n v="1"/>
    <s v="Medical"/>
    <n v="854"/>
    <n v="1"/>
    <s v="Male"/>
    <n v="65"/>
    <n v="4"/>
    <n v="1"/>
    <x v="1"/>
    <n v="1"/>
    <s v="Single"/>
    <n v="3424"/>
    <n v="21632"/>
    <n v="7"/>
    <x v="1"/>
    <n v="13"/>
    <n v="3"/>
    <n v="3"/>
    <n v="0"/>
    <n v="6"/>
    <n v="3"/>
    <n v="2"/>
    <n v="4"/>
    <n v="3"/>
    <n v="0"/>
    <n v="1"/>
    <s v="Below 30"/>
  </r>
  <r>
    <n v="33"/>
    <x v="1"/>
    <s v="Travel_Rarely"/>
    <n v="586"/>
    <x v="0"/>
    <n v="1"/>
    <n v="3"/>
    <s v="Medical"/>
    <n v="855"/>
    <n v="1"/>
    <s v="Male"/>
    <n v="48"/>
    <n v="4"/>
    <n v="2"/>
    <x v="0"/>
    <n v="1"/>
    <s v="Divorced"/>
    <n v="4037"/>
    <n v="21816"/>
    <n v="1"/>
    <x v="1"/>
    <n v="22"/>
    <n v="4"/>
    <n v="1"/>
    <n v="1"/>
    <n v="9"/>
    <n v="5"/>
    <n v="3"/>
    <n v="9"/>
    <n v="8"/>
    <n v="0"/>
    <n v="8"/>
    <s v="30-39"/>
  </r>
  <r>
    <n v="35"/>
    <x v="1"/>
    <s v="Travel_Rarely"/>
    <n v="1343"/>
    <x v="1"/>
    <n v="27"/>
    <n v="1"/>
    <s v="Medical"/>
    <n v="856"/>
    <n v="3"/>
    <s v="Female"/>
    <n v="53"/>
    <n v="2"/>
    <n v="1"/>
    <x v="1"/>
    <n v="1"/>
    <s v="Single"/>
    <n v="2559"/>
    <n v="17852"/>
    <n v="1"/>
    <x v="1"/>
    <n v="11"/>
    <n v="3"/>
    <n v="4"/>
    <n v="0"/>
    <n v="6"/>
    <n v="3"/>
    <n v="2"/>
    <n v="6"/>
    <n v="5"/>
    <n v="1"/>
    <n v="1"/>
    <s v="30-39"/>
  </r>
  <r>
    <n v="36"/>
    <x v="1"/>
    <s v="Travel_Rarely"/>
    <n v="928"/>
    <x v="0"/>
    <n v="1"/>
    <n v="2"/>
    <s v="Life Sciences"/>
    <n v="857"/>
    <n v="2"/>
    <s v="Male"/>
    <n v="56"/>
    <n v="3"/>
    <n v="2"/>
    <x v="0"/>
    <n v="4"/>
    <s v="Married"/>
    <n v="6201"/>
    <n v="2823"/>
    <n v="1"/>
    <x v="0"/>
    <n v="14"/>
    <n v="3"/>
    <n v="4"/>
    <n v="1"/>
    <n v="18"/>
    <n v="1"/>
    <n v="2"/>
    <n v="18"/>
    <n v="14"/>
    <n v="4"/>
    <n v="11"/>
    <s v="30-39"/>
  </r>
  <r>
    <n v="32"/>
    <x v="1"/>
    <s v="Travel_Rarely"/>
    <n v="117"/>
    <x v="0"/>
    <n v="13"/>
    <n v="4"/>
    <s v="Life Sciences"/>
    <n v="859"/>
    <n v="2"/>
    <s v="Male"/>
    <n v="73"/>
    <n v="3"/>
    <n v="2"/>
    <x v="0"/>
    <n v="4"/>
    <s v="Divorced"/>
    <n v="4403"/>
    <n v="9250"/>
    <n v="2"/>
    <x v="1"/>
    <n v="11"/>
    <n v="3"/>
    <n v="3"/>
    <n v="1"/>
    <n v="8"/>
    <n v="3"/>
    <n v="2"/>
    <n v="5"/>
    <n v="2"/>
    <n v="0"/>
    <n v="3"/>
    <s v="30-39"/>
  </r>
  <r>
    <n v="30"/>
    <x v="1"/>
    <s v="Travel_Frequently"/>
    <n v="1012"/>
    <x v="1"/>
    <n v="5"/>
    <n v="4"/>
    <s v="Life Sciences"/>
    <n v="861"/>
    <n v="2"/>
    <s v="Male"/>
    <n v="75"/>
    <n v="2"/>
    <n v="1"/>
    <x v="1"/>
    <n v="4"/>
    <s v="Divorced"/>
    <n v="3761"/>
    <n v="2373"/>
    <n v="9"/>
    <x v="1"/>
    <n v="12"/>
    <n v="3"/>
    <n v="2"/>
    <n v="1"/>
    <n v="10"/>
    <n v="3"/>
    <n v="2"/>
    <n v="5"/>
    <n v="4"/>
    <n v="0"/>
    <n v="3"/>
    <s v="30-39"/>
  </r>
  <r>
    <n v="53"/>
    <x v="1"/>
    <s v="Travel_Rarely"/>
    <n v="661"/>
    <x v="0"/>
    <n v="7"/>
    <n v="2"/>
    <s v="Marketing"/>
    <n v="862"/>
    <n v="1"/>
    <s v="Female"/>
    <n v="78"/>
    <n v="2"/>
    <n v="3"/>
    <x v="0"/>
    <n v="4"/>
    <s v="Married"/>
    <n v="10934"/>
    <n v="20715"/>
    <n v="7"/>
    <x v="0"/>
    <n v="18"/>
    <n v="3"/>
    <n v="4"/>
    <n v="1"/>
    <n v="35"/>
    <n v="3"/>
    <n v="3"/>
    <n v="5"/>
    <n v="2"/>
    <n v="0"/>
    <n v="4"/>
    <s v="50+"/>
  </r>
  <r>
    <n v="45"/>
    <x v="1"/>
    <s v="Travel_Rarely"/>
    <n v="930"/>
    <x v="0"/>
    <n v="9"/>
    <n v="3"/>
    <s v="Marketing"/>
    <n v="864"/>
    <n v="4"/>
    <s v="Male"/>
    <n v="74"/>
    <n v="3"/>
    <n v="3"/>
    <x v="0"/>
    <n v="1"/>
    <s v="Divorced"/>
    <n v="10761"/>
    <n v="19239"/>
    <n v="4"/>
    <x v="0"/>
    <n v="12"/>
    <n v="3"/>
    <n v="3"/>
    <n v="1"/>
    <n v="18"/>
    <n v="2"/>
    <n v="3"/>
    <n v="5"/>
    <n v="4"/>
    <n v="0"/>
    <n v="2"/>
    <s v="40-49"/>
  </r>
  <r>
    <n v="32"/>
    <x v="1"/>
    <s v="Travel_Rarely"/>
    <n v="638"/>
    <x v="1"/>
    <n v="8"/>
    <n v="2"/>
    <s v="Medical"/>
    <n v="865"/>
    <n v="3"/>
    <s v="Female"/>
    <n v="91"/>
    <n v="4"/>
    <n v="2"/>
    <x v="1"/>
    <n v="3"/>
    <s v="Married"/>
    <n v="5175"/>
    <n v="22162"/>
    <n v="5"/>
    <x v="1"/>
    <n v="12"/>
    <n v="3"/>
    <n v="3"/>
    <n v="1"/>
    <n v="9"/>
    <n v="3"/>
    <n v="2"/>
    <n v="5"/>
    <n v="3"/>
    <n v="1"/>
    <n v="3"/>
    <s v="30-39"/>
  </r>
  <r>
    <n v="52"/>
    <x v="1"/>
    <s v="Travel_Frequently"/>
    <n v="890"/>
    <x v="1"/>
    <n v="25"/>
    <n v="4"/>
    <s v="Medical"/>
    <n v="867"/>
    <n v="3"/>
    <s v="Female"/>
    <n v="81"/>
    <n v="2"/>
    <n v="4"/>
    <x v="3"/>
    <n v="4"/>
    <s v="Married"/>
    <n v="13826"/>
    <n v="19028"/>
    <n v="3"/>
    <x v="1"/>
    <n v="22"/>
    <n v="4"/>
    <n v="3"/>
    <n v="0"/>
    <n v="31"/>
    <n v="3"/>
    <n v="3"/>
    <n v="9"/>
    <n v="8"/>
    <n v="0"/>
    <n v="0"/>
    <s v="50+"/>
  </r>
  <r>
    <n v="37"/>
    <x v="1"/>
    <s v="Travel_Rarely"/>
    <n v="342"/>
    <x v="0"/>
    <n v="16"/>
    <n v="4"/>
    <s v="Marketing"/>
    <n v="868"/>
    <n v="4"/>
    <s v="Male"/>
    <n v="66"/>
    <n v="2"/>
    <n v="2"/>
    <x v="0"/>
    <n v="3"/>
    <s v="Divorced"/>
    <n v="6334"/>
    <n v="24558"/>
    <n v="4"/>
    <x v="1"/>
    <n v="19"/>
    <n v="3"/>
    <n v="4"/>
    <n v="2"/>
    <n v="9"/>
    <n v="2"/>
    <n v="3"/>
    <n v="1"/>
    <n v="0"/>
    <n v="0"/>
    <n v="0"/>
    <s v="30-39"/>
  </r>
  <r>
    <n v="28"/>
    <x v="1"/>
    <s v="Travel_Rarely"/>
    <n v="1169"/>
    <x v="2"/>
    <n v="8"/>
    <n v="2"/>
    <s v="Medical"/>
    <n v="869"/>
    <n v="2"/>
    <s v="Male"/>
    <n v="63"/>
    <n v="2"/>
    <n v="1"/>
    <x v="8"/>
    <n v="4"/>
    <s v="Divorced"/>
    <n v="4936"/>
    <n v="23965"/>
    <n v="1"/>
    <x v="1"/>
    <n v="13"/>
    <n v="3"/>
    <n v="4"/>
    <n v="1"/>
    <n v="6"/>
    <n v="6"/>
    <n v="3"/>
    <n v="5"/>
    <n v="1"/>
    <n v="0"/>
    <n v="4"/>
    <s v="Below 30"/>
  </r>
  <r>
    <n v="22"/>
    <x v="1"/>
    <s v="Travel_Rarely"/>
    <n v="1230"/>
    <x v="1"/>
    <n v="1"/>
    <n v="2"/>
    <s v="Life Sciences"/>
    <n v="872"/>
    <n v="4"/>
    <s v="Male"/>
    <n v="33"/>
    <n v="2"/>
    <n v="2"/>
    <x v="3"/>
    <n v="4"/>
    <s v="Married"/>
    <n v="4775"/>
    <n v="19146"/>
    <n v="6"/>
    <x v="1"/>
    <n v="22"/>
    <n v="4"/>
    <n v="1"/>
    <n v="2"/>
    <n v="4"/>
    <n v="2"/>
    <n v="1"/>
    <n v="2"/>
    <n v="2"/>
    <n v="2"/>
    <n v="2"/>
    <s v="Below 30"/>
  </r>
  <r>
    <n v="44"/>
    <x v="1"/>
    <s v="Travel_Rarely"/>
    <n v="986"/>
    <x v="1"/>
    <n v="8"/>
    <n v="4"/>
    <s v="Life Sciences"/>
    <n v="874"/>
    <n v="1"/>
    <s v="Male"/>
    <n v="62"/>
    <n v="4"/>
    <n v="1"/>
    <x v="2"/>
    <n v="4"/>
    <s v="Married"/>
    <n v="2818"/>
    <n v="5044"/>
    <n v="2"/>
    <x v="0"/>
    <n v="24"/>
    <n v="4"/>
    <n v="3"/>
    <n v="1"/>
    <n v="10"/>
    <n v="2"/>
    <n v="2"/>
    <n v="3"/>
    <n v="2"/>
    <n v="0"/>
    <n v="2"/>
    <s v="40-49"/>
  </r>
  <r>
    <n v="42"/>
    <x v="1"/>
    <s v="Travel_Frequently"/>
    <n v="1271"/>
    <x v="1"/>
    <n v="2"/>
    <n v="1"/>
    <s v="Medical"/>
    <n v="875"/>
    <n v="2"/>
    <s v="Male"/>
    <n v="35"/>
    <n v="3"/>
    <n v="1"/>
    <x v="1"/>
    <n v="4"/>
    <s v="Single"/>
    <n v="2515"/>
    <n v="9068"/>
    <n v="5"/>
    <x v="0"/>
    <n v="14"/>
    <n v="3"/>
    <n v="4"/>
    <n v="0"/>
    <n v="8"/>
    <n v="2"/>
    <n v="3"/>
    <n v="2"/>
    <n v="1"/>
    <n v="2"/>
    <n v="2"/>
    <s v="40-49"/>
  </r>
  <r>
    <n v="36"/>
    <x v="1"/>
    <s v="Travel_Rarely"/>
    <n v="1278"/>
    <x v="2"/>
    <n v="8"/>
    <n v="3"/>
    <s v="Life Sciences"/>
    <n v="878"/>
    <n v="1"/>
    <s v="Male"/>
    <n v="77"/>
    <n v="2"/>
    <n v="1"/>
    <x v="8"/>
    <n v="1"/>
    <s v="Married"/>
    <n v="2342"/>
    <n v="8635"/>
    <n v="0"/>
    <x v="1"/>
    <n v="21"/>
    <n v="4"/>
    <n v="3"/>
    <n v="0"/>
    <n v="6"/>
    <n v="3"/>
    <n v="3"/>
    <n v="5"/>
    <n v="4"/>
    <n v="0"/>
    <n v="3"/>
    <s v="30-39"/>
  </r>
  <r>
    <n v="25"/>
    <x v="1"/>
    <s v="Travel_Rarely"/>
    <n v="141"/>
    <x v="0"/>
    <n v="3"/>
    <n v="1"/>
    <s v="Other"/>
    <n v="879"/>
    <n v="3"/>
    <s v="Male"/>
    <n v="98"/>
    <n v="3"/>
    <n v="2"/>
    <x v="0"/>
    <n v="1"/>
    <s v="Married"/>
    <n v="4194"/>
    <n v="14363"/>
    <n v="1"/>
    <x v="0"/>
    <n v="18"/>
    <n v="3"/>
    <n v="4"/>
    <n v="0"/>
    <n v="5"/>
    <n v="3"/>
    <n v="3"/>
    <n v="5"/>
    <n v="3"/>
    <n v="0"/>
    <n v="3"/>
    <s v="Below 30"/>
  </r>
  <r>
    <n v="35"/>
    <x v="1"/>
    <s v="Travel_Rarely"/>
    <n v="607"/>
    <x v="1"/>
    <n v="9"/>
    <n v="3"/>
    <s v="Life Sciences"/>
    <n v="880"/>
    <n v="4"/>
    <s v="Female"/>
    <n v="66"/>
    <n v="2"/>
    <n v="3"/>
    <x v="3"/>
    <n v="3"/>
    <s v="Married"/>
    <n v="10685"/>
    <n v="23457"/>
    <n v="1"/>
    <x v="0"/>
    <n v="20"/>
    <n v="4"/>
    <n v="2"/>
    <n v="1"/>
    <n v="17"/>
    <n v="2"/>
    <n v="3"/>
    <n v="17"/>
    <n v="14"/>
    <n v="5"/>
    <n v="15"/>
    <s v="30-39"/>
  </r>
  <r>
    <n v="35"/>
    <x v="0"/>
    <s v="Travel_Frequently"/>
    <n v="130"/>
    <x v="1"/>
    <n v="25"/>
    <n v="4"/>
    <s v="Life Sciences"/>
    <n v="881"/>
    <n v="4"/>
    <s v="Female"/>
    <n v="96"/>
    <n v="3"/>
    <n v="1"/>
    <x v="1"/>
    <n v="2"/>
    <s v="Divorced"/>
    <n v="2022"/>
    <n v="16612"/>
    <n v="1"/>
    <x v="0"/>
    <n v="19"/>
    <n v="3"/>
    <n v="1"/>
    <n v="1"/>
    <n v="10"/>
    <n v="3"/>
    <n v="2"/>
    <n v="10"/>
    <n v="2"/>
    <n v="7"/>
    <n v="8"/>
    <s v="30-39"/>
  </r>
  <r>
    <n v="32"/>
    <x v="1"/>
    <s v="Non-Travel"/>
    <n v="300"/>
    <x v="1"/>
    <n v="1"/>
    <n v="3"/>
    <s v="Life Sciences"/>
    <n v="882"/>
    <n v="4"/>
    <s v="Male"/>
    <n v="61"/>
    <n v="3"/>
    <n v="1"/>
    <x v="2"/>
    <n v="4"/>
    <s v="Divorced"/>
    <n v="2314"/>
    <n v="9148"/>
    <n v="0"/>
    <x v="1"/>
    <n v="12"/>
    <n v="3"/>
    <n v="2"/>
    <n v="1"/>
    <n v="4"/>
    <n v="2"/>
    <n v="3"/>
    <n v="3"/>
    <n v="0"/>
    <n v="0"/>
    <n v="2"/>
    <s v="30-39"/>
  </r>
  <r>
    <n v="25"/>
    <x v="1"/>
    <s v="Travel_Rarely"/>
    <n v="583"/>
    <x v="0"/>
    <n v="4"/>
    <n v="1"/>
    <s v="Marketing"/>
    <n v="885"/>
    <n v="3"/>
    <s v="Male"/>
    <n v="87"/>
    <n v="2"/>
    <n v="2"/>
    <x v="0"/>
    <n v="1"/>
    <s v="Married"/>
    <n v="4256"/>
    <n v="18154"/>
    <n v="1"/>
    <x v="1"/>
    <n v="12"/>
    <n v="3"/>
    <n v="1"/>
    <n v="0"/>
    <n v="5"/>
    <n v="1"/>
    <n v="4"/>
    <n v="5"/>
    <n v="2"/>
    <n v="0"/>
    <n v="3"/>
    <s v="Below 30"/>
  </r>
  <r>
    <n v="49"/>
    <x v="1"/>
    <s v="Travel_Rarely"/>
    <n v="1418"/>
    <x v="1"/>
    <n v="1"/>
    <n v="3"/>
    <s v="Technical Degree"/>
    <n v="887"/>
    <n v="3"/>
    <s v="Female"/>
    <n v="36"/>
    <n v="3"/>
    <n v="1"/>
    <x v="1"/>
    <n v="1"/>
    <s v="Married"/>
    <n v="3580"/>
    <n v="10554"/>
    <n v="2"/>
    <x v="1"/>
    <n v="16"/>
    <n v="3"/>
    <n v="2"/>
    <n v="1"/>
    <n v="7"/>
    <n v="2"/>
    <n v="3"/>
    <n v="4"/>
    <n v="2"/>
    <n v="0"/>
    <n v="2"/>
    <s v="40-49"/>
  </r>
  <r>
    <n v="24"/>
    <x v="1"/>
    <s v="Non-Travel"/>
    <n v="1269"/>
    <x v="1"/>
    <n v="4"/>
    <n v="1"/>
    <s v="Life Sciences"/>
    <n v="888"/>
    <n v="1"/>
    <s v="Male"/>
    <n v="46"/>
    <n v="2"/>
    <n v="1"/>
    <x v="2"/>
    <n v="4"/>
    <s v="Married"/>
    <n v="3162"/>
    <n v="10778"/>
    <n v="0"/>
    <x v="1"/>
    <n v="17"/>
    <n v="3"/>
    <n v="4"/>
    <n v="0"/>
    <n v="6"/>
    <n v="2"/>
    <n v="2"/>
    <n v="5"/>
    <n v="2"/>
    <n v="3"/>
    <n v="4"/>
    <s v="Below 30"/>
  </r>
  <r>
    <n v="32"/>
    <x v="1"/>
    <s v="Travel_Frequently"/>
    <n v="379"/>
    <x v="0"/>
    <n v="5"/>
    <n v="2"/>
    <s v="Life Sciences"/>
    <n v="889"/>
    <n v="2"/>
    <s v="Male"/>
    <n v="48"/>
    <n v="3"/>
    <n v="2"/>
    <x v="0"/>
    <n v="2"/>
    <s v="Married"/>
    <n v="6524"/>
    <n v="8891"/>
    <n v="1"/>
    <x v="1"/>
    <n v="14"/>
    <n v="3"/>
    <n v="4"/>
    <n v="1"/>
    <n v="10"/>
    <n v="3"/>
    <n v="3"/>
    <n v="10"/>
    <n v="8"/>
    <n v="5"/>
    <n v="3"/>
    <s v="30-39"/>
  </r>
  <r>
    <n v="38"/>
    <x v="1"/>
    <s v="Travel_Rarely"/>
    <n v="395"/>
    <x v="0"/>
    <n v="9"/>
    <n v="3"/>
    <s v="Marketing"/>
    <n v="893"/>
    <n v="2"/>
    <s v="Male"/>
    <n v="98"/>
    <n v="2"/>
    <n v="1"/>
    <x v="6"/>
    <n v="2"/>
    <s v="Married"/>
    <n v="2899"/>
    <n v="12102"/>
    <n v="0"/>
    <x v="1"/>
    <n v="19"/>
    <n v="3"/>
    <n v="4"/>
    <n v="1"/>
    <n v="3"/>
    <n v="3"/>
    <n v="3"/>
    <n v="2"/>
    <n v="2"/>
    <n v="1"/>
    <n v="2"/>
    <s v="30-39"/>
  </r>
  <r>
    <n v="42"/>
    <x v="1"/>
    <s v="Travel_Rarely"/>
    <n v="1265"/>
    <x v="1"/>
    <n v="3"/>
    <n v="3"/>
    <s v="Life Sciences"/>
    <n v="894"/>
    <n v="3"/>
    <s v="Female"/>
    <n v="95"/>
    <n v="4"/>
    <n v="2"/>
    <x v="2"/>
    <n v="4"/>
    <s v="Married"/>
    <n v="5231"/>
    <n v="23726"/>
    <n v="2"/>
    <x v="0"/>
    <n v="13"/>
    <n v="3"/>
    <n v="2"/>
    <n v="1"/>
    <n v="17"/>
    <n v="1"/>
    <n v="2"/>
    <n v="5"/>
    <n v="3"/>
    <n v="1"/>
    <n v="3"/>
    <s v="40-49"/>
  </r>
  <r>
    <n v="31"/>
    <x v="1"/>
    <s v="Travel_Rarely"/>
    <n v="1222"/>
    <x v="1"/>
    <n v="11"/>
    <n v="4"/>
    <s v="Life Sciences"/>
    <n v="895"/>
    <n v="4"/>
    <s v="Male"/>
    <n v="48"/>
    <n v="3"/>
    <n v="1"/>
    <x v="1"/>
    <n v="4"/>
    <s v="Married"/>
    <n v="2356"/>
    <n v="14871"/>
    <n v="3"/>
    <x v="0"/>
    <n v="19"/>
    <n v="3"/>
    <n v="2"/>
    <n v="1"/>
    <n v="8"/>
    <n v="2"/>
    <n v="3"/>
    <n v="6"/>
    <n v="4"/>
    <n v="0"/>
    <n v="2"/>
    <s v="30-39"/>
  </r>
  <r>
    <n v="29"/>
    <x v="0"/>
    <s v="Travel_Rarely"/>
    <n v="341"/>
    <x v="0"/>
    <n v="1"/>
    <n v="3"/>
    <s v="Medical"/>
    <n v="896"/>
    <n v="2"/>
    <s v="Female"/>
    <n v="48"/>
    <n v="2"/>
    <n v="1"/>
    <x v="6"/>
    <n v="3"/>
    <s v="Divorced"/>
    <n v="2800"/>
    <n v="23522"/>
    <n v="6"/>
    <x v="0"/>
    <n v="19"/>
    <n v="3"/>
    <n v="3"/>
    <n v="3"/>
    <n v="5"/>
    <n v="3"/>
    <n v="3"/>
    <n v="3"/>
    <n v="2"/>
    <n v="0"/>
    <n v="2"/>
    <s v="Below 30"/>
  </r>
  <r>
    <n v="53"/>
    <x v="1"/>
    <s v="Travel_Rarely"/>
    <n v="868"/>
    <x v="0"/>
    <n v="8"/>
    <n v="3"/>
    <s v="Marketing"/>
    <n v="897"/>
    <n v="1"/>
    <s v="Male"/>
    <n v="73"/>
    <n v="3"/>
    <n v="4"/>
    <x v="0"/>
    <n v="4"/>
    <s v="Married"/>
    <n v="11836"/>
    <n v="22789"/>
    <n v="5"/>
    <x v="1"/>
    <n v="14"/>
    <n v="3"/>
    <n v="3"/>
    <n v="1"/>
    <n v="28"/>
    <n v="3"/>
    <n v="3"/>
    <n v="2"/>
    <n v="0"/>
    <n v="2"/>
    <n v="2"/>
    <s v="50+"/>
  </r>
  <r>
    <n v="35"/>
    <x v="1"/>
    <s v="Travel_Rarely"/>
    <n v="672"/>
    <x v="1"/>
    <n v="25"/>
    <n v="3"/>
    <s v="Technical Degree"/>
    <n v="899"/>
    <n v="4"/>
    <s v="Male"/>
    <n v="78"/>
    <n v="2"/>
    <n v="3"/>
    <x v="3"/>
    <n v="2"/>
    <s v="Married"/>
    <n v="10903"/>
    <n v="9129"/>
    <n v="3"/>
    <x v="1"/>
    <n v="16"/>
    <n v="3"/>
    <n v="1"/>
    <n v="0"/>
    <n v="16"/>
    <n v="2"/>
    <n v="3"/>
    <n v="13"/>
    <n v="10"/>
    <n v="4"/>
    <n v="8"/>
    <s v="30-39"/>
  </r>
  <r>
    <n v="37"/>
    <x v="1"/>
    <s v="Travel_Frequently"/>
    <n v="1231"/>
    <x v="0"/>
    <n v="21"/>
    <n v="2"/>
    <s v="Medical"/>
    <n v="900"/>
    <n v="3"/>
    <s v="Female"/>
    <n v="54"/>
    <n v="3"/>
    <n v="1"/>
    <x v="6"/>
    <n v="4"/>
    <s v="Married"/>
    <n v="2973"/>
    <n v="21222"/>
    <n v="5"/>
    <x v="1"/>
    <n v="15"/>
    <n v="3"/>
    <n v="2"/>
    <n v="1"/>
    <n v="10"/>
    <n v="3"/>
    <n v="3"/>
    <n v="5"/>
    <n v="4"/>
    <n v="0"/>
    <n v="0"/>
    <s v="30-39"/>
  </r>
  <r>
    <n v="53"/>
    <x v="1"/>
    <s v="Travel_Rarely"/>
    <n v="102"/>
    <x v="1"/>
    <n v="23"/>
    <n v="4"/>
    <s v="Life Sciences"/>
    <n v="901"/>
    <n v="4"/>
    <s v="Female"/>
    <n v="72"/>
    <n v="3"/>
    <n v="4"/>
    <x v="7"/>
    <n v="4"/>
    <s v="Single"/>
    <n v="14275"/>
    <n v="20206"/>
    <n v="6"/>
    <x v="1"/>
    <n v="18"/>
    <n v="3"/>
    <n v="3"/>
    <n v="0"/>
    <n v="33"/>
    <n v="0"/>
    <n v="3"/>
    <n v="12"/>
    <n v="9"/>
    <n v="3"/>
    <n v="8"/>
    <s v="50+"/>
  </r>
  <r>
    <n v="43"/>
    <x v="1"/>
    <s v="Travel_Frequently"/>
    <n v="422"/>
    <x v="1"/>
    <n v="1"/>
    <n v="3"/>
    <s v="Life Sciences"/>
    <n v="902"/>
    <n v="4"/>
    <s v="Female"/>
    <n v="33"/>
    <n v="3"/>
    <n v="2"/>
    <x v="4"/>
    <n v="4"/>
    <s v="Married"/>
    <n v="5562"/>
    <n v="21782"/>
    <n v="4"/>
    <x v="1"/>
    <n v="13"/>
    <n v="3"/>
    <n v="2"/>
    <n v="1"/>
    <n v="12"/>
    <n v="2"/>
    <n v="2"/>
    <n v="5"/>
    <n v="2"/>
    <n v="2"/>
    <n v="2"/>
    <s v="40-49"/>
  </r>
  <r>
    <n v="47"/>
    <x v="1"/>
    <s v="Travel_Rarely"/>
    <n v="249"/>
    <x v="0"/>
    <n v="2"/>
    <n v="2"/>
    <s v="Marketing"/>
    <n v="903"/>
    <n v="3"/>
    <s v="Female"/>
    <n v="35"/>
    <n v="3"/>
    <n v="2"/>
    <x v="0"/>
    <n v="4"/>
    <s v="Married"/>
    <n v="4537"/>
    <n v="17783"/>
    <n v="0"/>
    <x v="0"/>
    <n v="22"/>
    <n v="4"/>
    <n v="1"/>
    <n v="1"/>
    <n v="8"/>
    <n v="2"/>
    <n v="3"/>
    <n v="7"/>
    <n v="6"/>
    <n v="7"/>
    <n v="7"/>
    <s v="40-49"/>
  </r>
  <r>
    <n v="37"/>
    <x v="1"/>
    <s v="Non-Travel"/>
    <n v="1252"/>
    <x v="0"/>
    <n v="19"/>
    <n v="2"/>
    <s v="Medical"/>
    <n v="904"/>
    <n v="1"/>
    <s v="Male"/>
    <n v="32"/>
    <n v="3"/>
    <n v="3"/>
    <x v="0"/>
    <n v="2"/>
    <s v="Single"/>
    <n v="7642"/>
    <n v="4814"/>
    <n v="1"/>
    <x v="0"/>
    <n v="13"/>
    <n v="3"/>
    <n v="4"/>
    <n v="0"/>
    <n v="10"/>
    <n v="2"/>
    <n v="3"/>
    <n v="10"/>
    <n v="0"/>
    <n v="0"/>
    <n v="9"/>
    <s v="30-39"/>
  </r>
  <r>
    <n v="50"/>
    <x v="1"/>
    <s v="Non-Travel"/>
    <n v="881"/>
    <x v="1"/>
    <n v="2"/>
    <n v="4"/>
    <s v="Life Sciences"/>
    <n v="905"/>
    <n v="1"/>
    <s v="Male"/>
    <n v="98"/>
    <n v="3"/>
    <n v="4"/>
    <x v="5"/>
    <n v="1"/>
    <s v="Divorced"/>
    <n v="17924"/>
    <n v="4544"/>
    <n v="1"/>
    <x v="1"/>
    <n v="11"/>
    <n v="3"/>
    <n v="4"/>
    <n v="1"/>
    <n v="31"/>
    <n v="3"/>
    <n v="3"/>
    <n v="31"/>
    <n v="6"/>
    <n v="14"/>
    <n v="7"/>
    <s v="50+"/>
  </r>
  <r>
    <n v="39"/>
    <x v="1"/>
    <s v="Travel_Rarely"/>
    <n v="1383"/>
    <x v="2"/>
    <n v="2"/>
    <n v="3"/>
    <s v="Life Sciences"/>
    <n v="909"/>
    <n v="4"/>
    <s v="Female"/>
    <n v="42"/>
    <n v="2"/>
    <n v="2"/>
    <x v="8"/>
    <n v="4"/>
    <s v="Married"/>
    <n v="5204"/>
    <n v="7790"/>
    <n v="8"/>
    <x v="1"/>
    <n v="11"/>
    <n v="3"/>
    <n v="3"/>
    <n v="2"/>
    <n v="13"/>
    <n v="2"/>
    <n v="3"/>
    <n v="5"/>
    <n v="4"/>
    <n v="0"/>
    <n v="4"/>
    <s v="30-39"/>
  </r>
  <r>
    <n v="33"/>
    <x v="1"/>
    <s v="Travel_Rarely"/>
    <n v="1075"/>
    <x v="2"/>
    <n v="3"/>
    <n v="2"/>
    <s v="Human Resources"/>
    <n v="910"/>
    <n v="4"/>
    <s v="Male"/>
    <n v="57"/>
    <n v="3"/>
    <n v="1"/>
    <x v="8"/>
    <n v="2"/>
    <s v="Divorced"/>
    <n v="2277"/>
    <n v="22650"/>
    <n v="3"/>
    <x v="0"/>
    <n v="11"/>
    <n v="3"/>
    <n v="3"/>
    <n v="1"/>
    <n v="7"/>
    <n v="4"/>
    <n v="4"/>
    <n v="4"/>
    <n v="3"/>
    <n v="0"/>
    <n v="3"/>
    <s v="30-39"/>
  </r>
  <r>
    <n v="32"/>
    <x v="0"/>
    <s v="Travel_Rarely"/>
    <n v="374"/>
    <x v="1"/>
    <n v="25"/>
    <n v="4"/>
    <s v="Life Sciences"/>
    <n v="911"/>
    <n v="1"/>
    <s v="Male"/>
    <n v="87"/>
    <n v="3"/>
    <n v="1"/>
    <x v="2"/>
    <n v="4"/>
    <s v="Single"/>
    <n v="2795"/>
    <n v="18016"/>
    <n v="1"/>
    <x v="0"/>
    <n v="24"/>
    <n v="4"/>
    <n v="3"/>
    <n v="0"/>
    <n v="1"/>
    <n v="2"/>
    <n v="1"/>
    <n v="1"/>
    <n v="0"/>
    <n v="0"/>
    <n v="1"/>
    <s v="30-39"/>
  </r>
  <r>
    <n v="29"/>
    <x v="1"/>
    <s v="Travel_Rarely"/>
    <n v="1086"/>
    <x v="1"/>
    <n v="7"/>
    <n v="1"/>
    <s v="Medical"/>
    <n v="912"/>
    <n v="1"/>
    <s v="Female"/>
    <n v="62"/>
    <n v="2"/>
    <n v="1"/>
    <x v="2"/>
    <n v="4"/>
    <s v="Divorced"/>
    <n v="2532"/>
    <n v="6054"/>
    <n v="6"/>
    <x v="1"/>
    <n v="14"/>
    <n v="3"/>
    <n v="3"/>
    <n v="3"/>
    <n v="8"/>
    <n v="5"/>
    <n v="3"/>
    <n v="4"/>
    <n v="3"/>
    <n v="0"/>
    <n v="3"/>
    <s v="Below 30"/>
  </r>
  <r>
    <n v="44"/>
    <x v="1"/>
    <s v="Travel_Rarely"/>
    <n v="661"/>
    <x v="1"/>
    <n v="9"/>
    <n v="2"/>
    <s v="Life Sciences"/>
    <n v="913"/>
    <n v="2"/>
    <s v="Male"/>
    <n v="61"/>
    <n v="3"/>
    <n v="1"/>
    <x v="1"/>
    <n v="1"/>
    <s v="Married"/>
    <n v="2559"/>
    <n v="7508"/>
    <n v="1"/>
    <x v="0"/>
    <n v="13"/>
    <n v="3"/>
    <n v="4"/>
    <n v="0"/>
    <n v="8"/>
    <n v="0"/>
    <n v="3"/>
    <n v="8"/>
    <n v="7"/>
    <n v="7"/>
    <n v="1"/>
    <s v="40-49"/>
  </r>
  <r>
    <n v="28"/>
    <x v="1"/>
    <s v="Travel_Rarely"/>
    <n v="821"/>
    <x v="0"/>
    <n v="5"/>
    <n v="4"/>
    <s v="Medical"/>
    <n v="916"/>
    <n v="1"/>
    <s v="Male"/>
    <n v="98"/>
    <n v="3"/>
    <n v="2"/>
    <x v="0"/>
    <n v="4"/>
    <s v="Single"/>
    <n v="4908"/>
    <n v="24252"/>
    <n v="1"/>
    <x v="1"/>
    <n v="14"/>
    <n v="3"/>
    <n v="2"/>
    <n v="0"/>
    <n v="4"/>
    <n v="3"/>
    <n v="3"/>
    <n v="4"/>
    <n v="2"/>
    <n v="0"/>
    <n v="2"/>
    <s v="Below 30"/>
  </r>
  <r>
    <n v="58"/>
    <x v="0"/>
    <s v="Travel_Frequently"/>
    <n v="781"/>
    <x v="1"/>
    <n v="2"/>
    <n v="1"/>
    <s v="Life Sciences"/>
    <n v="918"/>
    <n v="4"/>
    <s v="Male"/>
    <n v="57"/>
    <n v="2"/>
    <n v="1"/>
    <x v="2"/>
    <n v="4"/>
    <s v="Divorced"/>
    <n v="2380"/>
    <n v="13384"/>
    <n v="9"/>
    <x v="0"/>
    <n v="14"/>
    <n v="3"/>
    <n v="4"/>
    <n v="1"/>
    <n v="3"/>
    <n v="3"/>
    <n v="2"/>
    <n v="1"/>
    <n v="0"/>
    <n v="0"/>
    <n v="0"/>
    <s v="50+"/>
  </r>
  <r>
    <n v="43"/>
    <x v="1"/>
    <s v="Travel_Rarely"/>
    <n v="177"/>
    <x v="1"/>
    <n v="8"/>
    <n v="3"/>
    <s v="Life Sciences"/>
    <n v="920"/>
    <n v="1"/>
    <s v="Female"/>
    <n v="55"/>
    <n v="3"/>
    <n v="2"/>
    <x v="3"/>
    <n v="2"/>
    <s v="Divorced"/>
    <n v="4765"/>
    <n v="23814"/>
    <n v="4"/>
    <x v="1"/>
    <n v="21"/>
    <n v="4"/>
    <n v="3"/>
    <n v="1"/>
    <n v="4"/>
    <n v="2"/>
    <n v="4"/>
    <n v="1"/>
    <n v="0"/>
    <n v="0"/>
    <n v="0"/>
    <s v="40-49"/>
  </r>
  <r>
    <n v="20"/>
    <x v="0"/>
    <s v="Travel_Rarely"/>
    <n v="500"/>
    <x v="0"/>
    <n v="2"/>
    <n v="3"/>
    <s v="Medical"/>
    <n v="922"/>
    <n v="3"/>
    <s v="Female"/>
    <n v="49"/>
    <n v="2"/>
    <n v="1"/>
    <x v="6"/>
    <n v="3"/>
    <s v="Single"/>
    <n v="2044"/>
    <n v="22052"/>
    <n v="1"/>
    <x v="1"/>
    <n v="13"/>
    <n v="3"/>
    <n v="4"/>
    <n v="0"/>
    <n v="2"/>
    <n v="3"/>
    <n v="2"/>
    <n v="2"/>
    <n v="2"/>
    <n v="0"/>
    <n v="2"/>
    <s v="Below 30"/>
  </r>
  <r>
    <n v="21"/>
    <x v="0"/>
    <s v="Travel_Rarely"/>
    <n v="1427"/>
    <x v="1"/>
    <n v="18"/>
    <n v="1"/>
    <s v="Other"/>
    <n v="923"/>
    <n v="4"/>
    <s v="Female"/>
    <n v="65"/>
    <n v="3"/>
    <n v="1"/>
    <x v="1"/>
    <n v="4"/>
    <s v="Single"/>
    <n v="2693"/>
    <n v="8870"/>
    <n v="1"/>
    <x v="1"/>
    <n v="19"/>
    <n v="3"/>
    <n v="1"/>
    <n v="0"/>
    <n v="1"/>
    <n v="3"/>
    <n v="2"/>
    <n v="1"/>
    <n v="0"/>
    <n v="0"/>
    <n v="0"/>
    <s v="Below 30"/>
  </r>
  <r>
    <n v="36"/>
    <x v="1"/>
    <s v="Travel_Rarely"/>
    <n v="1425"/>
    <x v="1"/>
    <n v="14"/>
    <n v="1"/>
    <s v="Life Sciences"/>
    <n v="924"/>
    <n v="3"/>
    <s v="Male"/>
    <n v="68"/>
    <n v="3"/>
    <n v="2"/>
    <x v="4"/>
    <n v="4"/>
    <s v="Married"/>
    <n v="6586"/>
    <n v="4821"/>
    <n v="0"/>
    <x v="0"/>
    <n v="17"/>
    <n v="3"/>
    <n v="1"/>
    <n v="1"/>
    <n v="17"/>
    <n v="2"/>
    <n v="2"/>
    <n v="16"/>
    <n v="8"/>
    <n v="4"/>
    <n v="11"/>
    <s v="30-39"/>
  </r>
  <r>
    <n v="47"/>
    <x v="1"/>
    <s v="Travel_Rarely"/>
    <n v="1454"/>
    <x v="0"/>
    <n v="2"/>
    <n v="4"/>
    <s v="Life Sciences"/>
    <n v="925"/>
    <n v="4"/>
    <s v="Female"/>
    <n v="65"/>
    <n v="2"/>
    <n v="1"/>
    <x v="6"/>
    <n v="4"/>
    <s v="Single"/>
    <n v="3294"/>
    <n v="13137"/>
    <n v="1"/>
    <x v="0"/>
    <n v="18"/>
    <n v="3"/>
    <n v="1"/>
    <n v="0"/>
    <n v="3"/>
    <n v="3"/>
    <n v="2"/>
    <n v="3"/>
    <n v="2"/>
    <n v="1"/>
    <n v="2"/>
    <s v="40-49"/>
  </r>
  <r>
    <n v="22"/>
    <x v="0"/>
    <s v="Travel_Rarely"/>
    <n v="617"/>
    <x v="1"/>
    <n v="3"/>
    <n v="1"/>
    <s v="Life Sciences"/>
    <n v="926"/>
    <n v="2"/>
    <s v="Female"/>
    <n v="34"/>
    <n v="3"/>
    <n v="2"/>
    <x v="3"/>
    <n v="3"/>
    <s v="Married"/>
    <n v="4171"/>
    <n v="10022"/>
    <n v="0"/>
    <x v="0"/>
    <n v="19"/>
    <n v="3"/>
    <n v="1"/>
    <n v="1"/>
    <n v="4"/>
    <n v="3"/>
    <n v="4"/>
    <n v="3"/>
    <n v="2"/>
    <n v="0"/>
    <n v="2"/>
    <s v="Below 30"/>
  </r>
  <r>
    <n v="41"/>
    <x v="0"/>
    <s v="Travel_Rarely"/>
    <n v="1085"/>
    <x v="1"/>
    <n v="2"/>
    <n v="4"/>
    <s v="Life Sciences"/>
    <n v="927"/>
    <n v="2"/>
    <s v="Female"/>
    <n v="57"/>
    <n v="1"/>
    <n v="1"/>
    <x v="2"/>
    <n v="4"/>
    <s v="Divorced"/>
    <n v="2778"/>
    <n v="17725"/>
    <n v="4"/>
    <x v="0"/>
    <n v="13"/>
    <n v="3"/>
    <n v="3"/>
    <n v="1"/>
    <n v="10"/>
    <n v="1"/>
    <n v="2"/>
    <n v="7"/>
    <n v="7"/>
    <n v="1"/>
    <n v="0"/>
    <s v="40-49"/>
  </r>
  <r>
    <n v="28"/>
    <x v="1"/>
    <s v="Travel_Rarely"/>
    <n v="995"/>
    <x v="1"/>
    <n v="9"/>
    <n v="3"/>
    <s v="Medical"/>
    <n v="930"/>
    <n v="3"/>
    <s v="Female"/>
    <n v="77"/>
    <n v="3"/>
    <n v="1"/>
    <x v="1"/>
    <n v="3"/>
    <s v="Divorced"/>
    <n v="2377"/>
    <n v="9834"/>
    <n v="5"/>
    <x v="1"/>
    <n v="18"/>
    <n v="3"/>
    <n v="2"/>
    <n v="1"/>
    <n v="6"/>
    <n v="2"/>
    <n v="3"/>
    <n v="2"/>
    <n v="2"/>
    <n v="2"/>
    <n v="2"/>
    <s v="Below 30"/>
  </r>
  <r>
    <n v="39"/>
    <x v="0"/>
    <s v="Travel_Rarely"/>
    <n v="1122"/>
    <x v="1"/>
    <n v="6"/>
    <n v="3"/>
    <s v="Medical"/>
    <n v="932"/>
    <n v="4"/>
    <s v="Male"/>
    <n v="70"/>
    <n v="3"/>
    <n v="1"/>
    <x v="2"/>
    <n v="1"/>
    <s v="Married"/>
    <n v="2404"/>
    <n v="4303"/>
    <n v="7"/>
    <x v="0"/>
    <n v="21"/>
    <n v="4"/>
    <n v="4"/>
    <n v="0"/>
    <n v="8"/>
    <n v="2"/>
    <n v="1"/>
    <n v="2"/>
    <n v="2"/>
    <n v="2"/>
    <n v="2"/>
    <s v="30-39"/>
  </r>
  <r>
    <n v="27"/>
    <x v="1"/>
    <s v="Travel_Rarely"/>
    <n v="618"/>
    <x v="1"/>
    <n v="4"/>
    <n v="3"/>
    <s v="Life Sciences"/>
    <n v="933"/>
    <n v="2"/>
    <s v="Female"/>
    <n v="76"/>
    <n v="3"/>
    <n v="1"/>
    <x v="1"/>
    <n v="3"/>
    <s v="Single"/>
    <n v="2318"/>
    <n v="17808"/>
    <n v="1"/>
    <x v="1"/>
    <n v="19"/>
    <n v="3"/>
    <n v="3"/>
    <n v="0"/>
    <n v="1"/>
    <n v="2"/>
    <n v="3"/>
    <n v="1"/>
    <n v="1"/>
    <n v="0"/>
    <n v="0"/>
    <s v="Below 30"/>
  </r>
  <r>
    <n v="34"/>
    <x v="1"/>
    <s v="Travel_Rarely"/>
    <n v="546"/>
    <x v="1"/>
    <n v="10"/>
    <n v="3"/>
    <s v="Life Sciences"/>
    <n v="934"/>
    <n v="2"/>
    <s v="Male"/>
    <n v="83"/>
    <n v="3"/>
    <n v="1"/>
    <x v="2"/>
    <n v="2"/>
    <s v="Divorced"/>
    <n v="2008"/>
    <n v="6896"/>
    <n v="1"/>
    <x v="1"/>
    <n v="14"/>
    <n v="3"/>
    <n v="2"/>
    <n v="2"/>
    <n v="1"/>
    <n v="3"/>
    <n v="3"/>
    <n v="1"/>
    <n v="0"/>
    <n v="1"/>
    <n v="0"/>
    <s v="30-39"/>
  </r>
  <r>
    <n v="42"/>
    <x v="1"/>
    <s v="Travel_Rarely"/>
    <n v="462"/>
    <x v="0"/>
    <n v="14"/>
    <n v="2"/>
    <s v="Medical"/>
    <n v="936"/>
    <n v="3"/>
    <s v="Female"/>
    <n v="68"/>
    <n v="2"/>
    <n v="2"/>
    <x v="0"/>
    <n v="3"/>
    <s v="Single"/>
    <n v="6244"/>
    <n v="7824"/>
    <n v="7"/>
    <x v="1"/>
    <n v="17"/>
    <n v="3"/>
    <n v="1"/>
    <n v="0"/>
    <n v="10"/>
    <n v="6"/>
    <n v="3"/>
    <n v="5"/>
    <n v="4"/>
    <n v="0"/>
    <n v="3"/>
    <s v="40-49"/>
  </r>
  <r>
    <n v="33"/>
    <x v="1"/>
    <s v="Travel_Rarely"/>
    <n v="1198"/>
    <x v="1"/>
    <n v="1"/>
    <n v="4"/>
    <s v="Other"/>
    <n v="939"/>
    <n v="3"/>
    <s v="Male"/>
    <n v="100"/>
    <n v="2"/>
    <n v="1"/>
    <x v="1"/>
    <n v="1"/>
    <s v="Single"/>
    <n v="2799"/>
    <n v="3339"/>
    <n v="3"/>
    <x v="0"/>
    <n v="11"/>
    <n v="3"/>
    <n v="2"/>
    <n v="0"/>
    <n v="6"/>
    <n v="1"/>
    <n v="3"/>
    <n v="3"/>
    <n v="2"/>
    <n v="0"/>
    <n v="2"/>
    <s v="30-39"/>
  </r>
  <r>
    <n v="58"/>
    <x v="1"/>
    <s v="Travel_Rarely"/>
    <n v="1272"/>
    <x v="1"/>
    <n v="5"/>
    <n v="3"/>
    <s v="Technical Degree"/>
    <n v="940"/>
    <n v="3"/>
    <s v="Female"/>
    <n v="37"/>
    <n v="2"/>
    <n v="3"/>
    <x v="4"/>
    <n v="2"/>
    <s v="Divorced"/>
    <n v="10552"/>
    <n v="9255"/>
    <n v="2"/>
    <x v="0"/>
    <n v="13"/>
    <n v="3"/>
    <n v="4"/>
    <n v="1"/>
    <n v="24"/>
    <n v="3"/>
    <n v="3"/>
    <n v="6"/>
    <n v="0"/>
    <n v="0"/>
    <n v="4"/>
    <s v="50+"/>
  </r>
  <r>
    <n v="31"/>
    <x v="1"/>
    <s v="Travel_Rarely"/>
    <n v="154"/>
    <x v="0"/>
    <n v="7"/>
    <n v="4"/>
    <s v="Life Sciences"/>
    <n v="941"/>
    <n v="2"/>
    <s v="Male"/>
    <n v="41"/>
    <n v="2"/>
    <n v="1"/>
    <x v="6"/>
    <n v="3"/>
    <s v="Married"/>
    <n v="2329"/>
    <n v="11737"/>
    <n v="3"/>
    <x v="1"/>
    <n v="15"/>
    <n v="3"/>
    <n v="2"/>
    <n v="0"/>
    <n v="13"/>
    <n v="2"/>
    <n v="4"/>
    <n v="7"/>
    <n v="7"/>
    <n v="5"/>
    <n v="2"/>
    <s v="30-39"/>
  </r>
  <r>
    <n v="35"/>
    <x v="1"/>
    <s v="Travel_Rarely"/>
    <n v="1137"/>
    <x v="1"/>
    <n v="21"/>
    <n v="1"/>
    <s v="Life Sciences"/>
    <n v="942"/>
    <n v="4"/>
    <s v="Female"/>
    <n v="51"/>
    <n v="3"/>
    <n v="2"/>
    <x v="4"/>
    <n v="4"/>
    <s v="Married"/>
    <n v="4014"/>
    <n v="19170"/>
    <n v="1"/>
    <x v="0"/>
    <n v="25"/>
    <n v="4"/>
    <n v="4"/>
    <n v="1"/>
    <n v="10"/>
    <n v="2"/>
    <n v="1"/>
    <n v="10"/>
    <n v="6"/>
    <n v="0"/>
    <n v="7"/>
    <s v="30-39"/>
  </r>
  <r>
    <n v="49"/>
    <x v="1"/>
    <s v="Travel_Rarely"/>
    <n v="527"/>
    <x v="1"/>
    <n v="8"/>
    <n v="2"/>
    <s v="Other"/>
    <n v="944"/>
    <n v="1"/>
    <s v="Female"/>
    <n v="51"/>
    <n v="3"/>
    <n v="3"/>
    <x v="2"/>
    <n v="2"/>
    <s v="Married"/>
    <n v="7403"/>
    <n v="22477"/>
    <n v="4"/>
    <x v="1"/>
    <n v="11"/>
    <n v="3"/>
    <n v="3"/>
    <n v="1"/>
    <n v="29"/>
    <n v="3"/>
    <n v="2"/>
    <n v="26"/>
    <n v="9"/>
    <n v="1"/>
    <n v="7"/>
    <s v="40-49"/>
  </r>
  <r>
    <n v="48"/>
    <x v="1"/>
    <s v="Travel_Rarely"/>
    <n v="1469"/>
    <x v="1"/>
    <n v="20"/>
    <n v="4"/>
    <s v="Medical"/>
    <n v="945"/>
    <n v="4"/>
    <s v="Male"/>
    <n v="51"/>
    <n v="3"/>
    <n v="1"/>
    <x v="1"/>
    <n v="3"/>
    <s v="Married"/>
    <n v="2259"/>
    <n v="5543"/>
    <n v="4"/>
    <x v="1"/>
    <n v="17"/>
    <n v="3"/>
    <n v="1"/>
    <n v="2"/>
    <n v="13"/>
    <n v="2"/>
    <n v="2"/>
    <n v="0"/>
    <n v="0"/>
    <n v="0"/>
    <n v="0"/>
    <s v="40-49"/>
  </r>
  <r>
    <n v="31"/>
    <x v="1"/>
    <s v="Non-Travel"/>
    <n v="1188"/>
    <x v="0"/>
    <n v="20"/>
    <n v="2"/>
    <s v="Marketing"/>
    <n v="947"/>
    <n v="4"/>
    <s v="Female"/>
    <n v="45"/>
    <n v="3"/>
    <n v="2"/>
    <x v="0"/>
    <n v="3"/>
    <s v="Married"/>
    <n v="6932"/>
    <n v="24406"/>
    <n v="1"/>
    <x v="1"/>
    <n v="13"/>
    <n v="3"/>
    <n v="4"/>
    <n v="1"/>
    <n v="9"/>
    <n v="2"/>
    <n v="2"/>
    <n v="9"/>
    <n v="8"/>
    <n v="0"/>
    <n v="0"/>
    <s v="30-39"/>
  </r>
  <r>
    <n v="36"/>
    <x v="1"/>
    <s v="Travel_Rarely"/>
    <n v="188"/>
    <x v="1"/>
    <n v="7"/>
    <n v="4"/>
    <s v="Other"/>
    <n v="949"/>
    <n v="2"/>
    <s v="Male"/>
    <n v="65"/>
    <n v="3"/>
    <n v="1"/>
    <x v="1"/>
    <n v="4"/>
    <s v="Single"/>
    <n v="4678"/>
    <n v="23293"/>
    <n v="2"/>
    <x v="1"/>
    <n v="18"/>
    <n v="3"/>
    <n v="3"/>
    <n v="0"/>
    <n v="8"/>
    <n v="6"/>
    <n v="3"/>
    <n v="6"/>
    <n v="2"/>
    <n v="0"/>
    <n v="1"/>
    <s v="30-39"/>
  </r>
  <r>
    <n v="38"/>
    <x v="1"/>
    <s v="Travel_Rarely"/>
    <n v="1333"/>
    <x v="1"/>
    <n v="1"/>
    <n v="3"/>
    <s v="Technical Degree"/>
    <n v="950"/>
    <n v="4"/>
    <s v="Female"/>
    <n v="80"/>
    <n v="3"/>
    <n v="3"/>
    <x v="7"/>
    <n v="1"/>
    <s v="Married"/>
    <n v="13582"/>
    <n v="16292"/>
    <n v="1"/>
    <x v="1"/>
    <n v="13"/>
    <n v="3"/>
    <n v="2"/>
    <n v="1"/>
    <n v="15"/>
    <n v="3"/>
    <n v="3"/>
    <n v="15"/>
    <n v="12"/>
    <n v="5"/>
    <n v="11"/>
    <s v="30-39"/>
  </r>
  <r>
    <n v="32"/>
    <x v="1"/>
    <s v="Non-Travel"/>
    <n v="1184"/>
    <x v="1"/>
    <n v="1"/>
    <n v="3"/>
    <s v="Life Sciences"/>
    <n v="951"/>
    <n v="3"/>
    <s v="Female"/>
    <n v="70"/>
    <n v="2"/>
    <n v="1"/>
    <x v="2"/>
    <n v="2"/>
    <s v="Married"/>
    <n v="2332"/>
    <n v="3974"/>
    <n v="6"/>
    <x v="1"/>
    <n v="20"/>
    <n v="4"/>
    <n v="3"/>
    <n v="0"/>
    <n v="5"/>
    <n v="3"/>
    <n v="3"/>
    <n v="3"/>
    <n v="0"/>
    <n v="0"/>
    <n v="2"/>
    <s v="30-39"/>
  </r>
  <r>
    <n v="25"/>
    <x v="0"/>
    <s v="Travel_Rarely"/>
    <n v="867"/>
    <x v="0"/>
    <n v="19"/>
    <n v="2"/>
    <s v="Marketing"/>
    <n v="952"/>
    <n v="3"/>
    <s v="Male"/>
    <n v="36"/>
    <n v="2"/>
    <n v="1"/>
    <x v="6"/>
    <n v="2"/>
    <s v="Married"/>
    <n v="2413"/>
    <n v="18798"/>
    <n v="1"/>
    <x v="0"/>
    <n v="18"/>
    <n v="3"/>
    <n v="3"/>
    <n v="3"/>
    <n v="1"/>
    <n v="2"/>
    <n v="3"/>
    <n v="1"/>
    <n v="0"/>
    <n v="0"/>
    <n v="0"/>
    <s v="Below 30"/>
  </r>
  <r>
    <n v="40"/>
    <x v="1"/>
    <s v="Travel_Rarely"/>
    <n v="658"/>
    <x v="0"/>
    <n v="10"/>
    <n v="4"/>
    <s v="Marketing"/>
    <n v="954"/>
    <n v="1"/>
    <s v="Male"/>
    <n v="67"/>
    <n v="2"/>
    <n v="3"/>
    <x v="0"/>
    <n v="2"/>
    <s v="Divorced"/>
    <n v="9705"/>
    <n v="20652"/>
    <n v="2"/>
    <x v="1"/>
    <n v="12"/>
    <n v="3"/>
    <n v="2"/>
    <n v="1"/>
    <n v="11"/>
    <n v="2"/>
    <n v="2"/>
    <n v="1"/>
    <n v="0"/>
    <n v="0"/>
    <n v="0"/>
    <s v="40-49"/>
  </r>
  <r>
    <n v="26"/>
    <x v="1"/>
    <s v="Travel_Frequently"/>
    <n v="1283"/>
    <x v="0"/>
    <n v="1"/>
    <n v="3"/>
    <s v="Medical"/>
    <n v="956"/>
    <n v="3"/>
    <s v="Male"/>
    <n v="52"/>
    <n v="2"/>
    <n v="2"/>
    <x v="0"/>
    <n v="1"/>
    <s v="Single"/>
    <n v="4294"/>
    <n v="11148"/>
    <n v="1"/>
    <x v="1"/>
    <n v="12"/>
    <n v="3"/>
    <n v="2"/>
    <n v="0"/>
    <n v="7"/>
    <n v="2"/>
    <n v="3"/>
    <n v="7"/>
    <n v="7"/>
    <n v="0"/>
    <n v="7"/>
    <s v="Below 30"/>
  </r>
  <r>
    <n v="41"/>
    <x v="1"/>
    <s v="Travel_Rarely"/>
    <n v="263"/>
    <x v="1"/>
    <n v="6"/>
    <n v="3"/>
    <s v="Medical"/>
    <n v="957"/>
    <n v="4"/>
    <s v="Male"/>
    <n v="59"/>
    <n v="3"/>
    <n v="1"/>
    <x v="2"/>
    <n v="1"/>
    <s v="Single"/>
    <n v="4721"/>
    <n v="3119"/>
    <n v="2"/>
    <x v="0"/>
    <n v="13"/>
    <n v="3"/>
    <n v="3"/>
    <n v="0"/>
    <n v="20"/>
    <n v="3"/>
    <n v="3"/>
    <n v="18"/>
    <n v="13"/>
    <n v="2"/>
    <n v="17"/>
    <s v="40-49"/>
  </r>
  <r>
    <n v="36"/>
    <x v="1"/>
    <s v="Travel_Rarely"/>
    <n v="938"/>
    <x v="1"/>
    <n v="2"/>
    <n v="4"/>
    <s v="Medical"/>
    <n v="958"/>
    <n v="3"/>
    <s v="Male"/>
    <n v="79"/>
    <n v="3"/>
    <n v="1"/>
    <x v="2"/>
    <n v="3"/>
    <s v="Single"/>
    <n v="2519"/>
    <n v="12287"/>
    <n v="4"/>
    <x v="1"/>
    <n v="21"/>
    <n v="4"/>
    <n v="3"/>
    <n v="0"/>
    <n v="16"/>
    <n v="6"/>
    <n v="3"/>
    <n v="11"/>
    <n v="8"/>
    <n v="3"/>
    <n v="9"/>
    <s v="30-39"/>
  </r>
  <r>
    <n v="19"/>
    <x v="0"/>
    <s v="Travel_Rarely"/>
    <n v="419"/>
    <x v="0"/>
    <n v="21"/>
    <n v="3"/>
    <s v="Other"/>
    <n v="959"/>
    <n v="4"/>
    <s v="Male"/>
    <n v="37"/>
    <n v="2"/>
    <n v="1"/>
    <x v="6"/>
    <n v="2"/>
    <s v="Single"/>
    <n v="2121"/>
    <n v="9947"/>
    <n v="1"/>
    <x v="0"/>
    <n v="13"/>
    <n v="3"/>
    <n v="2"/>
    <n v="0"/>
    <n v="1"/>
    <n v="3"/>
    <n v="4"/>
    <n v="1"/>
    <n v="0"/>
    <n v="0"/>
    <n v="0"/>
    <s v="Below 30"/>
  </r>
  <r>
    <n v="20"/>
    <x v="0"/>
    <s v="Travel_Rarely"/>
    <n v="129"/>
    <x v="1"/>
    <n v="4"/>
    <n v="3"/>
    <s v="Technical Degree"/>
    <n v="960"/>
    <n v="1"/>
    <s v="Male"/>
    <n v="84"/>
    <n v="3"/>
    <n v="1"/>
    <x v="2"/>
    <n v="1"/>
    <s v="Single"/>
    <n v="2973"/>
    <n v="13008"/>
    <n v="1"/>
    <x v="1"/>
    <n v="19"/>
    <n v="3"/>
    <n v="2"/>
    <n v="0"/>
    <n v="1"/>
    <n v="2"/>
    <n v="3"/>
    <n v="1"/>
    <n v="0"/>
    <n v="0"/>
    <n v="0"/>
    <s v="Below 30"/>
  </r>
  <r>
    <n v="31"/>
    <x v="1"/>
    <s v="Travel_Rarely"/>
    <n v="616"/>
    <x v="1"/>
    <n v="12"/>
    <n v="3"/>
    <s v="Medical"/>
    <n v="961"/>
    <n v="4"/>
    <s v="Female"/>
    <n v="41"/>
    <n v="3"/>
    <n v="2"/>
    <x v="4"/>
    <n v="4"/>
    <s v="Married"/>
    <n v="5855"/>
    <n v="17369"/>
    <n v="0"/>
    <x v="0"/>
    <n v="11"/>
    <n v="3"/>
    <n v="3"/>
    <n v="2"/>
    <n v="10"/>
    <n v="2"/>
    <n v="1"/>
    <n v="9"/>
    <n v="7"/>
    <n v="8"/>
    <n v="5"/>
    <s v="30-39"/>
  </r>
  <r>
    <n v="40"/>
    <x v="1"/>
    <s v="Travel_Frequently"/>
    <n v="1469"/>
    <x v="1"/>
    <n v="9"/>
    <n v="4"/>
    <s v="Medical"/>
    <n v="964"/>
    <n v="4"/>
    <s v="Male"/>
    <n v="35"/>
    <n v="3"/>
    <n v="1"/>
    <x v="1"/>
    <n v="2"/>
    <s v="Divorced"/>
    <n v="3617"/>
    <n v="25063"/>
    <n v="8"/>
    <x v="0"/>
    <n v="14"/>
    <n v="3"/>
    <n v="4"/>
    <n v="1"/>
    <n v="3"/>
    <n v="2"/>
    <n v="3"/>
    <n v="1"/>
    <n v="1"/>
    <n v="0"/>
    <n v="0"/>
    <s v="40-49"/>
  </r>
  <r>
    <n v="32"/>
    <x v="1"/>
    <s v="Travel_Rarely"/>
    <n v="498"/>
    <x v="1"/>
    <n v="3"/>
    <n v="4"/>
    <s v="Medical"/>
    <n v="966"/>
    <n v="3"/>
    <s v="Female"/>
    <n v="93"/>
    <n v="3"/>
    <n v="2"/>
    <x v="3"/>
    <n v="1"/>
    <s v="Married"/>
    <n v="6725"/>
    <n v="13554"/>
    <n v="1"/>
    <x v="1"/>
    <n v="12"/>
    <n v="3"/>
    <n v="3"/>
    <n v="1"/>
    <n v="8"/>
    <n v="2"/>
    <n v="4"/>
    <n v="8"/>
    <n v="7"/>
    <n v="6"/>
    <n v="3"/>
    <s v="30-39"/>
  </r>
  <r>
    <n v="36"/>
    <x v="0"/>
    <s v="Travel_Rarely"/>
    <n v="530"/>
    <x v="0"/>
    <n v="3"/>
    <n v="1"/>
    <s v="Life Sciences"/>
    <n v="967"/>
    <n v="3"/>
    <s v="Male"/>
    <n v="51"/>
    <n v="2"/>
    <n v="3"/>
    <x v="0"/>
    <n v="4"/>
    <s v="Married"/>
    <n v="10325"/>
    <n v="5518"/>
    <n v="1"/>
    <x v="0"/>
    <n v="11"/>
    <n v="3"/>
    <n v="1"/>
    <n v="1"/>
    <n v="16"/>
    <n v="6"/>
    <n v="3"/>
    <n v="16"/>
    <n v="7"/>
    <n v="3"/>
    <n v="7"/>
    <s v="30-39"/>
  </r>
  <r>
    <n v="33"/>
    <x v="1"/>
    <s v="Travel_Rarely"/>
    <n v="1069"/>
    <x v="1"/>
    <n v="1"/>
    <n v="3"/>
    <s v="Life Sciences"/>
    <n v="969"/>
    <n v="2"/>
    <s v="Female"/>
    <n v="42"/>
    <n v="2"/>
    <n v="2"/>
    <x v="4"/>
    <n v="4"/>
    <s v="Single"/>
    <n v="6949"/>
    <n v="12291"/>
    <n v="0"/>
    <x v="1"/>
    <n v="14"/>
    <n v="3"/>
    <n v="1"/>
    <n v="0"/>
    <n v="6"/>
    <n v="3"/>
    <n v="3"/>
    <n v="5"/>
    <n v="0"/>
    <n v="1"/>
    <n v="4"/>
    <s v="30-39"/>
  </r>
  <r>
    <n v="37"/>
    <x v="0"/>
    <s v="Travel_Rarely"/>
    <n v="625"/>
    <x v="0"/>
    <n v="1"/>
    <n v="4"/>
    <s v="Life Sciences"/>
    <n v="970"/>
    <n v="1"/>
    <s v="Male"/>
    <n v="46"/>
    <n v="2"/>
    <n v="3"/>
    <x v="0"/>
    <n v="3"/>
    <s v="Married"/>
    <n v="10609"/>
    <n v="14922"/>
    <n v="5"/>
    <x v="1"/>
    <n v="11"/>
    <n v="3"/>
    <n v="3"/>
    <n v="0"/>
    <n v="17"/>
    <n v="2"/>
    <n v="1"/>
    <n v="14"/>
    <n v="1"/>
    <n v="11"/>
    <n v="7"/>
    <s v="30-39"/>
  </r>
  <r>
    <n v="45"/>
    <x v="1"/>
    <s v="Non-Travel"/>
    <n v="805"/>
    <x v="1"/>
    <n v="4"/>
    <n v="2"/>
    <s v="Life Sciences"/>
    <n v="972"/>
    <n v="3"/>
    <s v="Male"/>
    <n v="57"/>
    <n v="3"/>
    <n v="2"/>
    <x v="2"/>
    <n v="2"/>
    <s v="Married"/>
    <n v="4447"/>
    <n v="23163"/>
    <n v="1"/>
    <x v="1"/>
    <n v="12"/>
    <n v="3"/>
    <n v="2"/>
    <n v="0"/>
    <n v="9"/>
    <n v="5"/>
    <n v="2"/>
    <n v="9"/>
    <n v="7"/>
    <n v="0"/>
    <n v="8"/>
    <s v="40-49"/>
  </r>
  <r>
    <n v="29"/>
    <x v="1"/>
    <s v="Travel_Frequently"/>
    <n v="1404"/>
    <x v="0"/>
    <n v="20"/>
    <n v="3"/>
    <s v="Technical Degree"/>
    <n v="974"/>
    <n v="3"/>
    <s v="Female"/>
    <n v="84"/>
    <n v="3"/>
    <n v="1"/>
    <x v="6"/>
    <n v="4"/>
    <s v="Married"/>
    <n v="2157"/>
    <n v="18203"/>
    <n v="1"/>
    <x v="1"/>
    <n v="15"/>
    <n v="3"/>
    <n v="2"/>
    <n v="1"/>
    <n v="3"/>
    <n v="5"/>
    <n v="3"/>
    <n v="3"/>
    <n v="1"/>
    <n v="0"/>
    <n v="2"/>
    <s v="Below 30"/>
  </r>
  <r>
    <n v="35"/>
    <x v="1"/>
    <s v="Travel_Rarely"/>
    <n v="1219"/>
    <x v="0"/>
    <n v="18"/>
    <n v="3"/>
    <s v="Medical"/>
    <n v="975"/>
    <n v="3"/>
    <s v="Female"/>
    <n v="86"/>
    <n v="3"/>
    <n v="2"/>
    <x v="0"/>
    <n v="3"/>
    <s v="Married"/>
    <n v="4601"/>
    <n v="6179"/>
    <n v="1"/>
    <x v="1"/>
    <n v="16"/>
    <n v="3"/>
    <n v="2"/>
    <n v="0"/>
    <n v="5"/>
    <n v="3"/>
    <n v="3"/>
    <n v="5"/>
    <n v="2"/>
    <n v="1"/>
    <n v="0"/>
    <s v="30-39"/>
  </r>
  <r>
    <n v="52"/>
    <x v="1"/>
    <s v="Travel_Rarely"/>
    <n v="1053"/>
    <x v="1"/>
    <n v="1"/>
    <n v="2"/>
    <s v="Life Sciences"/>
    <n v="976"/>
    <n v="4"/>
    <s v="Male"/>
    <n v="70"/>
    <n v="3"/>
    <n v="4"/>
    <x v="5"/>
    <n v="4"/>
    <s v="Married"/>
    <n v="17099"/>
    <n v="13829"/>
    <n v="2"/>
    <x v="1"/>
    <n v="15"/>
    <n v="3"/>
    <n v="2"/>
    <n v="1"/>
    <n v="26"/>
    <n v="2"/>
    <n v="2"/>
    <n v="9"/>
    <n v="8"/>
    <n v="7"/>
    <n v="8"/>
    <s v="50+"/>
  </r>
  <r>
    <n v="58"/>
    <x v="0"/>
    <s v="Travel_Rarely"/>
    <n v="289"/>
    <x v="1"/>
    <n v="2"/>
    <n v="3"/>
    <s v="Technical Degree"/>
    <n v="977"/>
    <n v="4"/>
    <s v="Male"/>
    <n v="51"/>
    <n v="3"/>
    <n v="1"/>
    <x v="1"/>
    <n v="3"/>
    <s v="Single"/>
    <n v="2479"/>
    <n v="26227"/>
    <n v="4"/>
    <x v="1"/>
    <n v="24"/>
    <n v="4"/>
    <n v="1"/>
    <n v="0"/>
    <n v="7"/>
    <n v="4"/>
    <n v="3"/>
    <n v="1"/>
    <n v="0"/>
    <n v="0"/>
    <n v="0"/>
    <s v="50+"/>
  </r>
  <r>
    <n v="53"/>
    <x v="1"/>
    <s v="Travel_Rarely"/>
    <n v="1376"/>
    <x v="0"/>
    <n v="2"/>
    <n v="2"/>
    <s v="Medical"/>
    <n v="981"/>
    <n v="3"/>
    <s v="Male"/>
    <n v="45"/>
    <n v="3"/>
    <n v="4"/>
    <x v="5"/>
    <n v="3"/>
    <s v="Divorced"/>
    <n v="14852"/>
    <n v="13938"/>
    <n v="6"/>
    <x v="1"/>
    <n v="13"/>
    <n v="3"/>
    <n v="3"/>
    <n v="1"/>
    <n v="22"/>
    <n v="3"/>
    <n v="4"/>
    <n v="17"/>
    <n v="13"/>
    <n v="15"/>
    <n v="2"/>
    <s v="50+"/>
  </r>
  <r>
    <n v="30"/>
    <x v="1"/>
    <s v="Travel_Rarely"/>
    <n v="231"/>
    <x v="0"/>
    <n v="8"/>
    <n v="2"/>
    <s v="Other"/>
    <n v="982"/>
    <n v="3"/>
    <s v="Male"/>
    <n v="62"/>
    <n v="3"/>
    <n v="3"/>
    <x v="0"/>
    <n v="3"/>
    <s v="Divorced"/>
    <n v="7264"/>
    <n v="9977"/>
    <n v="5"/>
    <x v="1"/>
    <n v="11"/>
    <n v="3"/>
    <n v="1"/>
    <n v="1"/>
    <n v="10"/>
    <n v="2"/>
    <n v="4"/>
    <n v="8"/>
    <n v="4"/>
    <n v="7"/>
    <n v="7"/>
    <s v="30-39"/>
  </r>
  <r>
    <n v="38"/>
    <x v="1"/>
    <s v="Non-Travel"/>
    <n v="152"/>
    <x v="0"/>
    <n v="10"/>
    <n v="3"/>
    <s v="Technical Degree"/>
    <n v="983"/>
    <n v="3"/>
    <s v="Female"/>
    <n v="85"/>
    <n v="3"/>
    <n v="2"/>
    <x v="0"/>
    <n v="4"/>
    <s v="Single"/>
    <n v="5666"/>
    <n v="19899"/>
    <n v="1"/>
    <x v="0"/>
    <n v="13"/>
    <n v="3"/>
    <n v="2"/>
    <n v="0"/>
    <n v="6"/>
    <n v="1"/>
    <n v="3"/>
    <n v="5"/>
    <n v="3"/>
    <n v="1"/>
    <n v="3"/>
    <s v="30-39"/>
  </r>
  <r>
    <n v="35"/>
    <x v="1"/>
    <s v="Travel_Rarely"/>
    <n v="882"/>
    <x v="0"/>
    <n v="3"/>
    <n v="4"/>
    <s v="Life Sciences"/>
    <n v="984"/>
    <n v="4"/>
    <s v="Male"/>
    <n v="92"/>
    <n v="3"/>
    <n v="3"/>
    <x v="0"/>
    <n v="4"/>
    <s v="Divorced"/>
    <n v="7823"/>
    <n v="6812"/>
    <n v="6"/>
    <x v="1"/>
    <n v="13"/>
    <n v="3"/>
    <n v="2"/>
    <n v="1"/>
    <n v="12"/>
    <n v="2"/>
    <n v="3"/>
    <n v="10"/>
    <n v="9"/>
    <n v="0"/>
    <n v="8"/>
    <s v="30-39"/>
  </r>
  <r>
    <n v="39"/>
    <x v="1"/>
    <s v="Travel_Rarely"/>
    <n v="903"/>
    <x v="0"/>
    <n v="2"/>
    <n v="5"/>
    <s v="Life Sciences"/>
    <n v="985"/>
    <n v="1"/>
    <s v="Male"/>
    <n v="41"/>
    <n v="4"/>
    <n v="3"/>
    <x v="0"/>
    <n v="3"/>
    <s v="Single"/>
    <n v="7880"/>
    <n v="2560"/>
    <n v="0"/>
    <x v="1"/>
    <n v="18"/>
    <n v="3"/>
    <n v="4"/>
    <n v="0"/>
    <n v="9"/>
    <n v="3"/>
    <n v="3"/>
    <n v="8"/>
    <n v="7"/>
    <n v="0"/>
    <n v="7"/>
    <s v="30-39"/>
  </r>
  <r>
    <n v="40"/>
    <x v="0"/>
    <s v="Non-Travel"/>
    <n v="1479"/>
    <x v="0"/>
    <n v="24"/>
    <n v="3"/>
    <s v="Life Sciences"/>
    <n v="986"/>
    <n v="2"/>
    <s v="Female"/>
    <n v="100"/>
    <n v="4"/>
    <n v="4"/>
    <x v="0"/>
    <n v="2"/>
    <s v="Single"/>
    <n v="13194"/>
    <n v="17071"/>
    <n v="4"/>
    <x v="0"/>
    <n v="16"/>
    <n v="3"/>
    <n v="4"/>
    <n v="0"/>
    <n v="22"/>
    <n v="2"/>
    <n v="2"/>
    <n v="1"/>
    <n v="0"/>
    <n v="0"/>
    <n v="0"/>
    <s v="40-49"/>
  </r>
  <r>
    <n v="47"/>
    <x v="1"/>
    <s v="Travel_Frequently"/>
    <n v="1379"/>
    <x v="1"/>
    <n v="16"/>
    <n v="4"/>
    <s v="Medical"/>
    <n v="987"/>
    <n v="3"/>
    <s v="Male"/>
    <n v="64"/>
    <n v="4"/>
    <n v="2"/>
    <x v="3"/>
    <n v="3"/>
    <s v="Divorced"/>
    <n v="5067"/>
    <n v="6759"/>
    <n v="1"/>
    <x v="0"/>
    <n v="19"/>
    <n v="3"/>
    <n v="3"/>
    <n v="0"/>
    <n v="20"/>
    <n v="3"/>
    <n v="4"/>
    <n v="19"/>
    <n v="10"/>
    <n v="2"/>
    <n v="7"/>
    <s v="40-49"/>
  </r>
  <r>
    <n v="36"/>
    <x v="1"/>
    <s v="Non-Travel"/>
    <n v="1229"/>
    <x v="0"/>
    <n v="8"/>
    <n v="4"/>
    <s v="Technical Degree"/>
    <n v="990"/>
    <n v="1"/>
    <s v="Male"/>
    <n v="84"/>
    <n v="3"/>
    <n v="2"/>
    <x v="0"/>
    <n v="4"/>
    <s v="Divorced"/>
    <n v="5079"/>
    <n v="25952"/>
    <n v="4"/>
    <x v="1"/>
    <n v="13"/>
    <n v="3"/>
    <n v="4"/>
    <n v="2"/>
    <n v="12"/>
    <n v="3"/>
    <n v="3"/>
    <n v="7"/>
    <n v="7"/>
    <n v="0"/>
    <n v="7"/>
    <s v="30-39"/>
  </r>
  <r>
    <n v="31"/>
    <x v="0"/>
    <s v="Non-Travel"/>
    <n v="335"/>
    <x v="1"/>
    <n v="9"/>
    <n v="2"/>
    <s v="Medical"/>
    <n v="991"/>
    <n v="3"/>
    <s v="Male"/>
    <n v="46"/>
    <n v="2"/>
    <n v="1"/>
    <x v="1"/>
    <n v="1"/>
    <s v="Single"/>
    <n v="2321"/>
    <n v="10322"/>
    <n v="0"/>
    <x v="0"/>
    <n v="22"/>
    <n v="4"/>
    <n v="1"/>
    <n v="0"/>
    <n v="4"/>
    <n v="0"/>
    <n v="3"/>
    <n v="3"/>
    <n v="2"/>
    <n v="1"/>
    <n v="2"/>
    <s v="30-39"/>
  </r>
  <r>
    <n v="33"/>
    <x v="1"/>
    <s v="Non-Travel"/>
    <n v="722"/>
    <x v="0"/>
    <n v="17"/>
    <n v="3"/>
    <s v="Life Sciences"/>
    <n v="992"/>
    <n v="4"/>
    <s v="Male"/>
    <n v="38"/>
    <n v="3"/>
    <n v="4"/>
    <x v="5"/>
    <n v="3"/>
    <s v="Single"/>
    <n v="17444"/>
    <n v="20489"/>
    <n v="1"/>
    <x v="1"/>
    <n v="11"/>
    <n v="3"/>
    <n v="4"/>
    <n v="0"/>
    <n v="10"/>
    <n v="2"/>
    <n v="3"/>
    <n v="10"/>
    <n v="8"/>
    <n v="6"/>
    <n v="0"/>
    <s v="30-39"/>
  </r>
  <r>
    <n v="29"/>
    <x v="0"/>
    <s v="Travel_Rarely"/>
    <n v="906"/>
    <x v="1"/>
    <n v="10"/>
    <n v="3"/>
    <s v="Life Sciences"/>
    <n v="994"/>
    <n v="4"/>
    <s v="Female"/>
    <n v="92"/>
    <n v="2"/>
    <n v="1"/>
    <x v="1"/>
    <n v="1"/>
    <s v="Single"/>
    <n v="2404"/>
    <n v="11479"/>
    <n v="6"/>
    <x v="0"/>
    <n v="20"/>
    <n v="4"/>
    <n v="3"/>
    <n v="0"/>
    <n v="3"/>
    <n v="5"/>
    <n v="3"/>
    <n v="0"/>
    <n v="0"/>
    <n v="0"/>
    <n v="0"/>
    <s v="Below 30"/>
  </r>
  <r>
    <n v="33"/>
    <x v="1"/>
    <s v="Travel_Rarely"/>
    <n v="461"/>
    <x v="1"/>
    <n v="13"/>
    <n v="1"/>
    <s v="Life Sciences"/>
    <n v="995"/>
    <n v="2"/>
    <s v="Female"/>
    <n v="53"/>
    <n v="3"/>
    <n v="1"/>
    <x v="1"/>
    <n v="4"/>
    <s v="Single"/>
    <n v="3452"/>
    <n v="17241"/>
    <n v="3"/>
    <x v="1"/>
    <n v="18"/>
    <n v="3"/>
    <n v="1"/>
    <n v="0"/>
    <n v="5"/>
    <n v="4"/>
    <n v="3"/>
    <n v="3"/>
    <n v="2"/>
    <n v="0"/>
    <n v="2"/>
    <s v="30-39"/>
  </r>
  <r>
    <n v="45"/>
    <x v="1"/>
    <s v="Travel_Rarely"/>
    <n v="974"/>
    <x v="1"/>
    <n v="1"/>
    <n v="4"/>
    <s v="Medical"/>
    <n v="996"/>
    <n v="4"/>
    <s v="Female"/>
    <n v="91"/>
    <n v="3"/>
    <n v="1"/>
    <x v="2"/>
    <n v="4"/>
    <s v="Divorced"/>
    <n v="2270"/>
    <n v="11005"/>
    <n v="3"/>
    <x v="1"/>
    <n v="14"/>
    <n v="3"/>
    <n v="4"/>
    <n v="2"/>
    <n v="8"/>
    <n v="2"/>
    <n v="3"/>
    <n v="5"/>
    <n v="3"/>
    <n v="0"/>
    <n v="2"/>
    <s v="40-49"/>
  </r>
  <r>
    <n v="50"/>
    <x v="1"/>
    <s v="Travel_Rarely"/>
    <n v="1126"/>
    <x v="1"/>
    <n v="1"/>
    <n v="2"/>
    <s v="Medical"/>
    <n v="997"/>
    <n v="4"/>
    <s v="Male"/>
    <n v="66"/>
    <n v="3"/>
    <n v="4"/>
    <x v="7"/>
    <n v="4"/>
    <s v="Divorced"/>
    <n v="17399"/>
    <n v="6615"/>
    <n v="9"/>
    <x v="1"/>
    <n v="22"/>
    <n v="4"/>
    <n v="3"/>
    <n v="1"/>
    <n v="32"/>
    <n v="1"/>
    <n v="2"/>
    <n v="5"/>
    <n v="4"/>
    <n v="1"/>
    <n v="3"/>
    <s v="50+"/>
  </r>
  <r>
    <n v="33"/>
    <x v="1"/>
    <s v="Travel_Frequently"/>
    <n v="827"/>
    <x v="1"/>
    <n v="1"/>
    <n v="4"/>
    <s v="Other"/>
    <n v="998"/>
    <n v="3"/>
    <s v="Female"/>
    <n v="84"/>
    <n v="4"/>
    <n v="2"/>
    <x v="4"/>
    <n v="2"/>
    <s v="Married"/>
    <n v="5488"/>
    <n v="20161"/>
    <n v="1"/>
    <x v="0"/>
    <n v="13"/>
    <n v="3"/>
    <n v="1"/>
    <n v="1"/>
    <n v="6"/>
    <n v="2"/>
    <n v="3"/>
    <n v="6"/>
    <n v="5"/>
    <n v="1"/>
    <n v="2"/>
    <s v="30-39"/>
  </r>
  <r>
    <n v="41"/>
    <x v="1"/>
    <s v="Travel_Frequently"/>
    <n v="840"/>
    <x v="1"/>
    <n v="9"/>
    <n v="3"/>
    <s v="Medical"/>
    <n v="999"/>
    <n v="1"/>
    <s v="Male"/>
    <n v="64"/>
    <n v="3"/>
    <n v="5"/>
    <x v="7"/>
    <n v="3"/>
    <s v="Divorced"/>
    <n v="19419"/>
    <n v="3735"/>
    <n v="2"/>
    <x v="1"/>
    <n v="17"/>
    <n v="3"/>
    <n v="2"/>
    <n v="1"/>
    <n v="21"/>
    <n v="2"/>
    <n v="4"/>
    <n v="18"/>
    <n v="16"/>
    <n v="0"/>
    <n v="11"/>
    <s v="40-49"/>
  </r>
  <r>
    <n v="27"/>
    <x v="1"/>
    <s v="Travel_Rarely"/>
    <n v="1134"/>
    <x v="1"/>
    <n v="16"/>
    <n v="4"/>
    <s v="Technical Degree"/>
    <n v="1001"/>
    <n v="3"/>
    <s v="Female"/>
    <n v="37"/>
    <n v="3"/>
    <n v="1"/>
    <x v="2"/>
    <n v="2"/>
    <s v="Married"/>
    <n v="2811"/>
    <n v="12086"/>
    <n v="9"/>
    <x v="1"/>
    <n v="14"/>
    <n v="3"/>
    <n v="2"/>
    <n v="1"/>
    <n v="4"/>
    <n v="2"/>
    <n v="3"/>
    <n v="2"/>
    <n v="2"/>
    <n v="2"/>
    <n v="2"/>
    <s v="Below 30"/>
  </r>
  <r>
    <n v="45"/>
    <x v="1"/>
    <s v="Non-Travel"/>
    <n v="248"/>
    <x v="1"/>
    <n v="23"/>
    <n v="2"/>
    <s v="Life Sciences"/>
    <n v="1002"/>
    <n v="4"/>
    <s v="Male"/>
    <n v="42"/>
    <n v="3"/>
    <n v="2"/>
    <x v="2"/>
    <n v="1"/>
    <s v="Married"/>
    <n v="3633"/>
    <n v="14039"/>
    <n v="1"/>
    <x v="0"/>
    <n v="15"/>
    <n v="3"/>
    <n v="3"/>
    <n v="1"/>
    <n v="9"/>
    <n v="2"/>
    <n v="3"/>
    <n v="9"/>
    <n v="8"/>
    <n v="0"/>
    <n v="8"/>
    <s v="40-49"/>
  </r>
  <r>
    <n v="47"/>
    <x v="1"/>
    <s v="Travel_Rarely"/>
    <n v="955"/>
    <x v="0"/>
    <n v="4"/>
    <n v="2"/>
    <s v="Life Sciences"/>
    <n v="1003"/>
    <n v="4"/>
    <s v="Female"/>
    <n v="83"/>
    <n v="3"/>
    <n v="2"/>
    <x v="0"/>
    <n v="4"/>
    <s v="Single"/>
    <n v="4163"/>
    <n v="8571"/>
    <n v="1"/>
    <x v="0"/>
    <n v="17"/>
    <n v="3"/>
    <n v="3"/>
    <n v="0"/>
    <n v="9"/>
    <n v="0"/>
    <n v="3"/>
    <n v="9"/>
    <n v="0"/>
    <n v="0"/>
    <n v="7"/>
    <s v="40-49"/>
  </r>
  <r>
    <n v="30"/>
    <x v="0"/>
    <s v="Travel_Rarely"/>
    <n v="138"/>
    <x v="1"/>
    <n v="22"/>
    <n v="3"/>
    <s v="Life Sciences"/>
    <n v="1004"/>
    <n v="1"/>
    <s v="Female"/>
    <n v="48"/>
    <n v="3"/>
    <n v="1"/>
    <x v="1"/>
    <n v="3"/>
    <s v="Married"/>
    <n v="2132"/>
    <n v="11539"/>
    <n v="4"/>
    <x v="0"/>
    <n v="11"/>
    <n v="3"/>
    <n v="2"/>
    <n v="0"/>
    <n v="7"/>
    <n v="2"/>
    <n v="3"/>
    <n v="5"/>
    <n v="2"/>
    <n v="0"/>
    <n v="1"/>
    <s v="30-39"/>
  </r>
  <r>
    <n v="50"/>
    <x v="1"/>
    <s v="Travel_Rarely"/>
    <n v="939"/>
    <x v="1"/>
    <n v="24"/>
    <n v="3"/>
    <s v="Life Sciences"/>
    <n v="1005"/>
    <n v="4"/>
    <s v="Male"/>
    <n v="95"/>
    <n v="3"/>
    <n v="4"/>
    <x v="3"/>
    <n v="3"/>
    <s v="Married"/>
    <n v="13973"/>
    <n v="4161"/>
    <n v="3"/>
    <x v="0"/>
    <n v="18"/>
    <n v="3"/>
    <n v="4"/>
    <n v="1"/>
    <n v="22"/>
    <n v="2"/>
    <n v="3"/>
    <n v="12"/>
    <n v="11"/>
    <n v="1"/>
    <n v="5"/>
    <s v="50+"/>
  </r>
  <r>
    <n v="38"/>
    <x v="1"/>
    <s v="Travel_Frequently"/>
    <n v="1391"/>
    <x v="1"/>
    <n v="10"/>
    <n v="1"/>
    <s v="Medical"/>
    <n v="1006"/>
    <n v="3"/>
    <s v="Male"/>
    <n v="66"/>
    <n v="3"/>
    <n v="1"/>
    <x v="1"/>
    <n v="3"/>
    <s v="Married"/>
    <n v="2684"/>
    <n v="12127"/>
    <n v="0"/>
    <x v="1"/>
    <n v="17"/>
    <n v="3"/>
    <n v="2"/>
    <n v="1"/>
    <n v="3"/>
    <n v="0"/>
    <n v="2"/>
    <n v="2"/>
    <n v="1"/>
    <n v="0"/>
    <n v="2"/>
    <s v="30-39"/>
  </r>
  <r>
    <n v="46"/>
    <x v="1"/>
    <s v="Travel_Rarely"/>
    <n v="566"/>
    <x v="1"/>
    <n v="7"/>
    <n v="2"/>
    <s v="Medical"/>
    <n v="1007"/>
    <n v="4"/>
    <s v="Male"/>
    <n v="75"/>
    <n v="3"/>
    <n v="3"/>
    <x v="3"/>
    <n v="3"/>
    <s v="Divorced"/>
    <n v="10845"/>
    <n v="24208"/>
    <n v="6"/>
    <x v="1"/>
    <n v="13"/>
    <n v="3"/>
    <n v="2"/>
    <n v="1"/>
    <n v="13"/>
    <n v="3"/>
    <n v="3"/>
    <n v="8"/>
    <n v="7"/>
    <n v="0"/>
    <n v="7"/>
    <s v="40-49"/>
  </r>
  <r>
    <n v="24"/>
    <x v="1"/>
    <s v="Travel_Rarely"/>
    <n v="1206"/>
    <x v="1"/>
    <n v="17"/>
    <n v="1"/>
    <s v="Medical"/>
    <n v="1009"/>
    <n v="4"/>
    <s v="Female"/>
    <n v="41"/>
    <n v="2"/>
    <n v="2"/>
    <x v="3"/>
    <n v="3"/>
    <s v="Divorced"/>
    <n v="4377"/>
    <n v="24117"/>
    <n v="1"/>
    <x v="1"/>
    <n v="15"/>
    <n v="3"/>
    <n v="2"/>
    <n v="2"/>
    <n v="5"/>
    <n v="6"/>
    <n v="3"/>
    <n v="4"/>
    <n v="2"/>
    <n v="3"/>
    <n v="2"/>
    <s v="Below 30"/>
  </r>
  <r>
    <n v="35"/>
    <x v="0"/>
    <s v="Travel_Rarely"/>
    <n v="622"/>
    <x v="1"/>
    <n v="14"/>
    <n v="4"/>
    <s v="Other"/>
    <n v="1010"/>
    <n v="3"/>
    <s v="Male"/>
    <n v="39"/>
    <n v="2"/>
    <n v="1"/>
    <x v="2"/>
    <n v="2"/>
    <s v="Divorced"/>
    <n v="3743"/>
    <n v="10074"/>
    <n v="1"/>
    <x v="0"/>
    <n v="24"/>
    <n v="4"/>
    <n v="4"/>
    <n v="1"/>
    <n v="5"/>
    <n v="2"/>
    <n v="1"/>
    <n v="4"/>
    <n v="2"/>
    <n v="0"/>
    <n v="2"/>
    <s v="30-39"/>
  </r>
  <r>
    <n v="31"/>
    <x v="1"/>
    <s v="Travel_Frequently"/>
    <n v="853"/>
    <x v="1"/>
    <n v="1"/>
    <n v="1"/>
    <s v="Life Sciences"/>
    <n v="1011"/>
    <n v="3"/>
    <s v="Female"/>
    <n v="96"/>
    <n v="3"/>
    <n v="2"/>
    <x v="3"/>
    <n v="1"/>
    <s v="Married"/>
    <n v="4148"/>
    <n v="11275"/>
    <n v="1"/>
    <x v="1"/>
    <n v="12"/>
    <n v="3"/>
    <n v="3"/>
    <n v="1"/>
    <n v="4"/>
    <n v="1"/>
    <n v="3"/>
    <n v="4"/>
    <n v="3"/>
    <n v="0"/>
    <n v="3"/>
    <s v="30-39"/>
  </r>
  <r>
    <n v="18"/>
    <x v="1"/>
    <s v="Non-Travel"/>
    <n v="287"/>
    <x v="1"/>
    <n v="5"/>
    <n v="2"/>
    <s v="Life Sciences"/>
    <n v="1012"/>
    <n v="2"/>
    <s v="Male"/>
    <n v="73"/>
    <n v="3"/>
    <n v="1"/>
    <x v="1"/>
    <n v="4"/>
    <s v="Single"/>
    <n v="1051"/>
    <n v="13493"/>
    <n v="1"/>
    <x v="1"/>
    <n v="15"/>
    <n v="3"/>
    <n v="4"/>
    <n v="0"/>
    <n v="0"/>
    <n v="2"/>
    <n v="3"/>
    <n v="0"/>
    <n v="0"/>
    <n v="0"/>
    <n v="0"/>
    <s v="Below 30"/>
  </r>
  <r>
    <n v="54"/>
    <x v="1"/>
    <s v="Travel_Rarely"/>
    <n v="1441"/>
    <x v="1"/>
    <n v="17"/>
    <n v="3"/>
    <s v="Technical Degree"/>
    <n v="1013"/>
    <n v="3"/>
    <s v="Female"/>
    <n v="56"/>
    <n v="3"/>
    <n v="3"/>
    <x v="3"/>
    <n v="3"/>
    <s v="Married"/>
    <n v="10739"/>
    <n v="13943"/>
    <n v="8"/>
    <x v="1"/>
    <n v="11"/>
    <n v="3"/>
    <n v="3"/>
    <n v="1"/>
    <n v="22"/>
    <n v="2"/>
    <n v="3"/>
    <n v="10"/>
    <n v="7"/>
    <n v="0"/>
    <n v="8"/>
    <s v="50+"/>
  </r>
  <r>
    <n v="35"/>
    <x v="1"/>
    <s v="Travel_Rarely"/>
    <n v="583"/>
    <x v="1"/>
    <n v="25"/>
    <n v="4"/>
    <s v="Medical"/>
    <n v="1014"/>
    <n v="3"/>
    <s v="Female"/>
    <n v="57"/>
    <n v="3"/>
    <n v="3"/>
    <x v="4"/>
    <n v="3"/>
    <s v="Divorced"/>
    <n v="10388"/>
    <n v="6975"/>
    <n v="1"/>
    <x v="0"/>
    <n v="11"/>
    <n v="3"/>
    <n v="3"/>
    <n v="1"/>
    <n v="16"/>
    <n v="3"/>
    <n v="2"/>
    <n v="16"/>
    <n v="10"/>
    <n v="10"/>
    <n v="1"/>
    <s v="30-39"/>
  </r>
  <r>
    <n v="30"/>
    <x v="1"/>
    <s v="Travel_Rarely"/>
    <n v="153"/>
    <x v="1"/>
    <n v="8"/>
    <n v="2"/>
    <s v="Life Sciences"/>
    <n v="1015"/>
    <n v="2"/>
    <s v="Female"/>
    <n v="73"/>
    <n v="4"/>
    <n v="3"/>
    <x v="7"/>
    <n v="1"/>
    <s v="Married"/>
    <n v="11416"/>
    <n v="17802"/>
    <n v="0"/>
    <x v="0"/>
    <n v="12"/>
    <n v="3"/>
    <n v="3"/>
    <n v="3"/>
    <n v="9"/>
    <n v="4"/>
    <n v="2"/>
    <n v="8"/>
    <n v="7"/>
    <n v="1"/>
    <n v="7"/>
    <s v="30-39"/>
  </r>
  <r>
    <n v="20"/>
    <x v="0"/>
    <s v="Travel_Rarely"/>
    <n v="1097"/>
    <x v="1"/>
    <n v="11"/>
    <n v="3"/>
    <s v="Medical"/>
    <n v="1016"/>
    <n v="4"/>
    <s v="Female"/>
    <n v="98"/>
    <n v="2"/>
    <n v="1"/>
    <x v="1"/>
    <n v="1"/>
    <s v="Single"/>
    <n v="2600"/>
    <n v="18275"/>
    <n v="1"/>
    <x v="0"/>
    <n v="15"/>
    <n v="3"/>
    <n v="1"/>
    <n v="0"/>
    <n v="1"/>
    <n v="2"/>
    <n v="3"/>
    <n v="1"/>
    <n v="0"/>
    <n v="0"/>
    <n v="0"/>
    <s v="Below 30"/>
  </r>
  <r>
    <n v="30"/>
    <x v="0"/>
    <s v="Travel_Frequently"/>
    <n v="109"/>
    <x v="1"/>
    <n v="5"/>
    <n v="3"/>
    <s v="Medical"/>
    <n v="1017"/>
    <n v="2"/>
    <s v="Female"/>
    <n v="60"/>
    <n v="3"/>
    <n v="1"/>
    <x v="2"/>
    <n v="2"/>
    <s v="Single"/>
    <n v="2422"/>
    <n v="25725"/>
    <n v="0"/>
    <x v="1"/>
    <n v="17"/>
    <n v="3"/>
    <n v="1"/>
    <n v="0"/>
    <n v="4"/>
    <n v="3"/>
    <n v="3"/>
    <n v="3"/>
    <n v="2"/>
    <n v="1"/>
    <n v="2"/>
    <s v="30-39"/>
  </r>
  <r>
    <n v="26"/>
    <x v="1"/>
    <s v="Travel_Rarely"/>
    <n v="1066"/>
    <x v="1"/>
    <n v="2"/>
    <n v="2"/>
    <s v="Medical"/>
    <n v="1018"/>
    <n v="4"/>
    <s v="Male"/>
    <n v="32"/>
    <n v="4"/>
    <n v="2"/>
    <x v="3"/>
    <n v="4"/>
    <s v="Married"/>
    <n v="5472"/>
    <n v="3334"/>
    <n v="1"/>
    <x v="1"/>
    <n v="12"/>
    <n v="3"/>
    <n v="2"/>
    <n v="0"/>
    <n v="8"/>
    <n v="2"/>
    <n v="3"/>
    <n v="8"/>
    <n v="7"/>
    <n v="1"/>
    <n v="3"/>
    <s v="Below 30"/>
  </r>
  <r>
    <n v="22"/>
    <x v="1"/>
    <s v="Travel_Rarely"/>
    <n v="217"/>
    <x v="1"/>
    <n v="8"/>
    <n v="1"/>
    <s v="Life Sciences"/>
    <n v="1019"/>
    <n v="2"/>
    <s v="Male"/>
    <n v="94"/>
    <n v="1"/>
    <n v="1"/>
    <x v="2"/>
    <n v="1"/>
    <s v="Married"/>
    <n v="2451"/>
    <n v="6881"/>
    <n v="1"/>
    <x v="1"/>
    <n v="15"/>
    <n v="3"/>
    <n v="1"/>
    <n v="1"/>
    <n v="4"/>
    <n v="3"/>
    <n v="2"/>
    <n v="4"/>
    <n v="3"/>
    <n v="1"/>
    <n v="1"/>
    <s v="Below 30"/>
  </r>
  <r>
    <n v="48"/>
    <x v="1"/>
    <s v="Travel_Rarely"/>
    <n v="277"/>
    <x v="1"/>
    <n v="6"/>
    <n v="3"/>
    <s v="Life Sciences"/>
    <n v="1022"/>
    <n v="1"/>
    <s v="Male"/>
    <n v="97"/>
    <n v="2"/>
    <n v="2"/>
    <x v="4"/>
    <n v="3"/>
    <s v="Single"/>
    <n v="4240"/>
    <n v="13119"/>
    <n v="2"/>
    <x v="1"/>
    <n v="13"/>
    <n v="3"/>
    <n v="4"/>
    <n v="0"/>
    <n v="19"/>
    <n v="0"/>
    <n v="3"/>
    <n v="2"/>
    <n v="2"/>
    <n v="2"/>
    <n v="2"/>
    <s v="40-49"/>
  </r>
  <r>
    <n v="48"/>
    <x v="1"/>
    <s v="Travel_Rarely"/>
    <n v="1355"/>
    <x v="1"/>
    <n v="4"/>
    <n v="4"/>
    <s v="Life Sciences"/>
    <n v="1024"/>
    <n v="3"/>
    <s v="Male"/>
    <n v="78"/>
    <n v="2"/>
    <n v="3"/>
    <x v="4"/>
    <n v="3"/>
    <s v="Single"/>
    <n v="10999"/>
    <n v="22245"/>
    <n v="7"/>
    <x v="1"/>
    <n v="14"/>
    <n v="3"/>
    <n v="2"/>
    <n v="0"/>
    <n v="27"/>
    <n v="3"/>
    <n v="3"/>
    <n v="15"/>
    <n v="11"/>
    <n v="4"/>
    <n v="8"/>
    <s v="40-49"/>
  </r>
  <r>
    <n v="41"/>
    <x v="1"/>
    <s v="Travel_Rarely"/>
    <n v="549"/>
    <x v="1"/>
    <n v="7"/>
    <n v="2"/>
    <s v="Medical"/>
    <n v="1025"/>
    <n v="4"/>
    <s v="Female"/>
    <n v="42"/>
    <n v="3"/>
    <n v="2"/>
    <x v="3"/>
    <n v="3"/>
    <s v="Single"/>
    <n v="5003"/>
    <n v="23371"/>
    <n v="6"/>
    <x v="1"/>
    <n v="14"/>
    <n v="3"/>
    <n v="2"/>
    <n v="0"/>
    <n v="8"/>
    <n v="6"/>
    <n v="3"/>
    <n v="2"/>
    <n v="2"/>
    <n v="2"/>
    <n v="1"/>
    <s v="40-49"/>
  </r>
  <r>
    <n v="39"/>
    <x v="1"/>
    <s v="Travel_Rarely"/>
    <n v="466"/>
    <x v="1"/>
    <n v="1"/>
    <n v="1"/>
    <s v="Life Sciences"/>
    <n v="1026"/>
    <n v="4"/>
    <s v="Female"/>
    <n v="65"/>
    <n v="2"/>
    <n v="4"/>
    <x v="3"/>
    <n v="4"/>
    <s v="Married"/>
    <n v="12742"/>
    <n v="7060"/>
    <n v="1"/>
    <x v="1"/>
    <n v="16"/>
    <n v="3"/>
    <n v="3"/>
    <n v="1"/>
    <n v="21"/>
    <n v="3"/>
    <n v="3"/>
    <n v="21"/>
    <n v="6"/>
    <n v="11"/>
    <n v="8"/>
    <s v="30-39"/>
  </r>
  <r>
    <n v="27"/>
    <x v="1"/>
    <s v="Travel_Rarely"/>
    <n v="1055"/>
    <x v="1"/>
    <n v="2"/>
    <n v="4"/>
    <s v="Life Sciences"/>
    <n v="1027"/>
    <n v="1"/>
    <s v="Female"/>
    <n v="47"/>
    <n v="3"/>
    <n v="2"/>
    <x v="3"/>
    <n v="4"/>
    <s v="Married"/>
    <n v="4227"/>
    <n v="4658"/>
    <n v="0"/>
    <x v="1"/>
    <n v="18"/>
    <n v="3"/>
    <n v="2"/>
    <n v="1"/>
    <n v="4"/>
    <n v="2"/>
    <n v="3"/>
    <n v="3"/>
    <n v="2"/>
    <n v="2"/>
    <n v="2"/>
    <s v="Below 30"/>
  </r>
  <r>
    <n v="35"/>
    <x v="1"/>
    <s v="Travel_Rarely"/>
    <n v="802"/>
    <x v="1"/>
    <n v="10"/>
    <n v="3"/>
    <s v="Other"/>
    <n v="1028"/>
    <n v="2"/>
    <s v="Male"/>
    <n v="45"/>
    <n v="3"/>
    <n v="1"/>
    <x v="2"/>
    <n v="4"/>
    <s v="Divorced"/>
    <n v="3917"/>
    <n v="9541"/>
    <n v="1"/>
    <x v="1"/>
    <n v="20"/>
    <n v="4"/>
    <n v="1"/>
    <n v="1"/>
    <n v="3"/>
    <n v="4"/>
    <n v="2"/>
    <n v="3"/>
    <n v="2"/>
    <n v="1"/>
    <n v="2"/>
    <s v="30-39"/>
  </r>
  <r>
    <n v="42"/>
    <x v="1"/>
    <s v="Travel_Rarely"/>
    <n v="265"/>
    <x v="0"/>
    <n v="5"/>
    <n v="2"/>
    <s v="Marketing"/>
    <n v="1029"/>
    <n v="4"/>
    <s v="Male"/>
    <n v="90"/>
    <n v="3"/>
    <n v="5"/>
    <x v="5"/>
    <n v="3"/>
    <s v="Married"/>
    <n v="18303"/>
    <n v="7770"/>
    <n v="6"/>
    <x v="1"/>
    <n v="13"/>
    <n v="3"/>
    <n v="2"/>
    <n v="0"/>
    <n v="21"/>
    <n v="3"/>
    <n v="4"/>
    <n v="1"/>
    <n v="0"/>
    <n v="0"/>
    <n v="0"/>
    <s v="40-49"/>
  </r>
  <r>
    <n v="50"/>
    <x v="1"/>
    <s v="Travel_Rarely"/>
    <n v="804"/>
    <x v="1"/>
    <n v="9"/>
    <n v="3"/>
    <s v="Life Sciences"/>
    <n v="1030"/>
    <n v="1"/>
    <s v="Male"/>
    <n v="64"/>
    <n v="3"/>
    <n v="1"/>
    <x v="2"/>
    <n v="4"/>
    <s v="Married"/>
    <n v="2380"/>
    <n v="20165"/>
    <n v="4"/>
    <x v="1"/>
    <n v="18"/>
    <n v="3"/>
    <n v="2"/>
    <n v="0"/>
    <n v="8"/>
    <n v="5"/>
    <n v="3"/>
    <n v="1"/>
    <n v="0"/>
    <n v="0"/>
    <n v="0"/>
    <s v="50+"/>
  </r>
  <r>
    <n v="59"/>
    <x v="1"/>
    <s v="Travel_Rarely"/>
    <n v="715"/>
    <x v="1"/>
    <n v="2"/>
    <n v="3"/>
    <s v="Life Sciences"/>
    <n v="1032"/>
    <n v="3"/>
    <s v="Female"/>
    <n v="69"/>
    <n v="2"/>
    <n v="4"/>
    <x v="3"/>
    <n v="4"/>
    <s v="Single"/>
    <n v="13726"/>
    <n v="21829"/>
    <n v="3"/>
    <x v="0"/>
    <n v="13"/>
    <n v="3"/>
    <n v="1"/>
    <n v="0"/>
    <n v="30"/>
    <n v="4"/>
    <n v="3"/>
    <n v="5"/>
    <n v="3"/>
    <n v="4"/>
    <n v="3"/>
    <s v="50+"/>
  </r>
  <r>
    <n v="37"/>
    <x v="0"/>
    <s v="Travel_Rarely"/>
    <n v="1141"/>
    <x v="1"/>
    <n v="11"/>
    <n v="2"/>
    <s v="Medical"/>
    <n v="1033"/>
    <n v="1"/>
    <s v="Female"/>
    <n v="61"/>
    <n v="1"/>
    <n v="2"/>
    <x v="4"/>
    <n v="2"/>
    <s v="Married"/>
    <n v="4777"/>
    <n v="14382"/>
    <n v="5"/>
    <x v="1"/>
    <n v="15"/>
    <n v="3"/>
    <n v="1"/>
    <n v="0"/>
    <n v="15"/>
    <n v="2"/>
    <n v="1"/>
    <n v="1"/>
    <n v="0"/>
    <n v="0"/>
    <n v="0"/>
    <s v="30-39"/>
  </r>
  <r>
    <n v="55"/>
    <x v="1"/>
    <s v="Travel_Frequently"/>
    <n v="135"/>
    <x v="1"/>
    <n v="18"/>
    <n v="4"/>
    <s v="Medical"/>
    <n v="1034"/>
    <n v="3"/>
    <s v="Male"/>
    <n v="62"/>
    <n v="3"/>
    <n v="2"/>
    <x v="4"/>
    <n v="2"/>
    <s v="Married"/>
    <n v="6385"/>
    <n v="12992"/>
    <n v="3"/>
    <x v="0"/>
    <n v="14"/>
    <n v="3"/>
    <n v="4"/>
    <n v="2"/>
    <n v="17"/>
    <n v="3"/>
    <n v="3"/>
    <n v="8"/>
    <n v="7"/>
    <n v="6"/>
    <n v="7"/>
    <s v="50+"/>
  </r>
  <r>
    <n v="41"/>
    <x v="1"/>
    <s v="Non-Travel"/>
    <n v="247"/>
    <x v="1"/>
    <n v="7"/>
    <n v="1"/>
    <s v="Life Sciences"/>
    <n v="1035"/>
    <n v="2"/>
    <s v="Female"/>
    <n v="55"/>
    <n v="1"/>
    <n v="5"/>
    <x v="7"/>
    <n v="3"/>
    <s v="Divorced"/>
    <n v="19973"/>
    <n v="20284"/>
    <n v="1"/>
    <x v="1"/>
    <n v="22"/>
    <n v="4"/>
    <n v="2"/>
    <n v="2"/>
    <n v="21"/>
    <n v="3"/>
    <n v="3"/>
    <n v="21"/>
    <n v="16"/>
    <n v="5"/>
    <n v="10"/>
    <s v="40-49"/>
  </r>
  <r>
    <n v="38"/>
    <x v="1"/>
    <s v="Travel_Rarely"/>
    <n v="1035"/>
    <x v="0"/>
    <n v="3"/>
    <n v="4"/>
    <s v="Life Sciences"/>
    <n v="1036"/>
    <n v="2"/>
    <s v="Male"/>
    <n v="42"/>
    <n v="3"/>
    <n v="2"/>
    <x v="0"/>
    <n v="4"/>
    <s v="Single"/>
    <n v="6861"/>
    <n v="4981"/>
    <n v="8"/>
    <x v="0"/>
    <n v="12"/>
    <n v="3"/>
    <n v="3"/>
    <n v="0"/>
    <n v="19"/>
    <n v="1"/>
    <n v="3"/>
    <n v="1"/>
    <n v="0"/>
    <n v="0"/>
    <n v="0"/>
    <s v="30-39"/>
  </r>
  <r>
    <n v="26"/>
    <x v="0"/>
    <s v="Non-Travel"/>
    <n v="265"/>
    <x v="0"/>
    <n v="29"/>
    <n v="2"/>
    <s v="Medical"/>
    <n v="1037"/>
    <n v="2"/>
    <s v="Male"/>
    <n v="79"/>
    <n v="1"/>
    <n v="2"/>
    <x v="0"/>
    <n v="1"/>
    <s v="Single"/>
    <n v="4969"/>
    <n v="21813"/>
    <n v="8"/>
    <x v="1"/>
    <n v="18"/>
    <n v="3"/>
    <n v="4"/>
    <n v="0"/>
    <n v="7"/>
    <n v="6"/>
    <n v="3"/>
    <n v="2"/>
    <n v="2"/>
    <n v="2"/>
    <n v="2"/>
    <s v="Below 30"/>
  </r>
  <r>
    <n v="52"/>
    <x v="0"/>
    <s v="Travel_Rarely"/>
    <n v="266"/>
    <x v="0"/>
    <n v="2"/>
    <n v="1"/>
    <s v="Marketing"/>
    <n v="1038"/>
    <n v="1"/>
    <s v="Female"/>
    <n v="57"/>
    <n v="1"/>
    <n v="5"/>
    <x v="5"/>
    <n v="4"/>
    <s v="Married"/>
    <n v="19845"/>
    <n v="25846"/>
    <n v="1"/>
    <x v="1"/>
    <n v="15"/>
    <n v="3"/>
    <n v="4"/>
    <n v="1"/>
    <n v="33"/>
    <n v="3"/>
    <n v="3"/>
    <n v="32"/>
    <n v="14"/>
    <n v="6"/>
    <n v="9"/>
    <s v="50+"/>
  </r>
  <r>
    <n v="44"/>
    <x v="1"/>
    <s v="Travel_Rarely"/>
    <n v="1448"/>
    <x v="0"/>
    <n v="28"/>
    <n v="3"/>
    <s v="Medical"/>
    <n v="1039"/>
    <n v="4"/>
    <s v="Female"/>
    <n v="53"/>
    <n v="4"/>
    <n v="4"/>
    <x v="0"/>
    <n v="4"/>
    <s v="Married"/>
    <n v="13320"/>
    <n v="11737"/>
    <n v="3"/>
    <x v="0"/>
    <n v="18"/>
    <n v="3"/>
    <n v="3"/>
    <n v="1"/>
    <n v="23"/>
    <n v="2"/>
    <n v="3"/>
    <n v="12"/>
    <n v="11"/>
    <n v="11"/>
    <n v="11"/>
    <s v="40-49"/>
  </r>
  <r>
    <n v="50"/>
    <x v="1"/>
    <s v="Non-Travel"/>
    <n v="145"/>
    <x v="0"/>
    <n v="1"/>
    <n v="3"/>
    <s v="Life Sciences"/>
    <n v="1040"/>
    <n v="4"/>
    <s v="Female"/>
    <n v="95"/>
    <n v="3"/>
    <n v="2"/>
    <x v="0"/>
    <n v="3"/>
    <s v="Married"/>
    <n v="6347"/>
    <n v="24920"/>
    <n v="0"/>
    <x v="1"/>
    <n v="12"/>
    <n v="3"/>
    <n v="1"/>
    <n v="1"/>
    <n v="19"/>
    <n v="3"/>
    <n v="3"/>
    <n v="18"/>
    <n v="7"/>
    <n v="0"/>
    <n v="13"/>
    <s v="50+"/>
  </r>
  <r>
    <n v="36"/>
    <x v="0"/>
    <s v="Travel_Rarely"/>
    <n v="885"/>
    <x v="1"/>
    <n v="16"/>
    <n v="4"/>
    <s v="Life Sciences"/>
    <n v="1042"/>
    <n v="3"/>
    <s v="Female"/>
    <n v="43"/>
    <n v="4"/>
    <n v="1"/>
    <x v="2"/>
    <n v="1"/>
    <s v="Single"/>
    <n v="2743"/>
    <n v="8269"/>
    <n v="1"/>
    <x v="1"/>
    <n v="16"/>
    <n v="3"/>
    <n v="3"/>
    <n v="0"/>
    <n v="18"/>
    <n v="1"/>
    <n v="3"/>
    <n v="17"/>
    <n v="13"/>
    <n v="15"/>
    <n v="14"/>
    <s v="30-39"/>
  </r>
  <r>
    <n v="39"/>
    <x v="1"/>
    <s v="Travel_Frequently"/>
    <n v="945"/>
    <x v="1"/>
    <n v="22"/>
    <n v="3"/>
    <s v="Medical"/>
    <n v="1043"/>
    <n v="4"/>
    <s v="Female"/>
    <n v="82"/>
    <n v="3"/>
    <n v="3"/>
    <x v="3"/>
    <n v="1"/>
    <s v="Single"/>
    <n v="10880"/>
    <n v="5083"/>
    <n v="1"/>
    <x v="0"/>
    <n v="13"/>
    <n v="3"/>
    <n v="3"/>
    <n v="0"/>
    <n v="21"/>
    <n v="2"/>
    <n v="3"/>
    <n v="21"/>
    <n v="6"/>
    <n v="2"/>
    <n v="8"/>
    <s v="30-39"/>
  </r>
  <r>
    <n v="33"/>
    <x v="1"/>
    <s v="Non-Travel"/>
    <n v="1038"/>
    <x v="0"/>
    <n v="8"/>
    <n v="1"/>
    <s v="Life Sciences"/>
    <n v="1044"/>
    <n v="2"/>
    <s v="Female"/>
    <n v="88"/>
    <n v="2"/>
    <n v="1"/>
    <x v="6"/>
    <n v="4"/>
    <s v="Single"/>
    <n v="2342"/>
    <n v="21437"/>
    <n v="0"/>
    <x v="1"/>
    <n v="19"/>
    <n v="3"/>
    <n v="4"/>
    <n v="0"/>
    <n v="3"/>
    <n v="2"/>
    <n v="2"/>
    <n v="2"/>
    <n v="2"/>
    <n v="2"/>
    <n v="2"/>
    <s v="30-39"/>
  </r>
  <r>
    <n v="45"/>
    <x v="1"/>
    <s v="Travel_Rarely"/>
    <n v="1234"/>
    <x v="0"/>
    <n v="11"/>
    <n v="2"/>
    <s v="Life Sciences"/>
    <n v="1045"/>
    <n v="4"/>
    <s v="Female"/>
    <n v="90"/>
    <n v="3"/>
    <n v="4"/>
    <x v="5"/>
    <n v="4"/>
    <s v="Married"/>
    <n v="17650"/>
    <n v="5404"/>
    <n v="3"/>
    <x v="1"/>
    <n v="13"/>
    <n v="3"/>
    <n v="2"/>
    <n v="1"/>
    <n v="26"/>
    <n v="4"/>
    <n v="4"/>
    <n v="9"/>
    <n v="3"/>
    <n v="1"/>
    <n v="1"/>
    <s v="40-49"/>
  </r>
  <r>
    <n v="32"/>
    <x v="1"/>
    <s v="Non-Travel"/>
    <n v="1109"/>
    <x v="1"/>
    <n v="29"/>
    <n v="4"/>
    <s v="Medical"/>
    <n v="1046"/>
    <n v="4"/>
    <s v="Female"/>
    <n v="69"/>
    <n v="3"/>
    <n v="1"/>
    <x v="2"/>
    <n v="3"/>
    <s v="Single"/>
    <n v="4025"/>
    <n v="11135"/>
    <n v="9"/>
    <x v="1"/>
    <n v="12"/>
    <n v="3"/>
    <n v="2"/>
    <n v="0"/>
    <n v="10"/>
    <n v="2"/>
    <n v="3"/>
    <n v="8"/>
    <n v="7"/>
    <n v="7"/>
    <n v="7"/>
    <s v="30-39"/>
  </r>
  <r>
    <n v="34"/>
    <x v="1"/>
    <s v="Travel_Rarely"/>
    <n v="216"/>
    <x v="0"/>
    <n v="1"/>
    <n v="4"/>
    <s v="Marketing"/>
    <n v="1047"/>
    <n v="2"/>
    <s v="Male"/>
    <n v="75"/>
    <n v="4"/>
    <n v="2"/>
    <x v="0"/>
    <n v="4"/>
    <s v="Divorced"/>
    <n v="9725"/>
    <n v="12278"/>
    <n v="0"/>
    <x v="1"/>
    <n v="11"/>
    <n v="3"/>
    <n v="4"/>
    <n v="1"/>
    <n v="16"/>
    <n v="2"/>
    <n v="2"/>
    <n v="15"/>
    <n v="1"/>
    <n v="0"/>
    <n v="9"/>
    <s v="30-39"/>
  </r>
  <r>
    <n v="59"/>
    <x v="1"/>
    <s v="Travel_Rarely"/>
    <n v="1089"/>
    <x v="0"/>
    <n v="1"/>
    <n v="2"/>
    <s v="Technical Degree"/>
    <n v="1048"/>
    <n v="2"/>
    <s v="Male"/>
    <n v="66"/>
    <n v="3"/>
    <n v="3"/>
    <x v="5"/>
    <n v="4"/>
    <s v="Married"/>
    <n v="11904"/>
    <n v="11038"/>
    <n v="3"/>
    <x v="0"/>
    <n v="14"/>
    <n v="3"/>
    <n v="3"/>
    <n v="1"/>
    <n v="14"/>
    <n v="1"/>
    <n v="1"/>
    <n v="6"/>
    <n v="4"/>
    <n v="0"/>
    <n v="4"/>
    <s v="50+"/>
  </r>
  <r>
    <n v="45"/>
    <x v="1"/>
    <s v="Travel_Rarely"/>
    <n v="788"/>
    <x v="2"/>
    <n v="24"/>
    <n v="4"/>
    <s v="Medical"/>
    <n v="1049"/>
    <n v="2"/>
    <s v="Male"/>
    <n v="36"/>
    <n v="3"/>
    <n v="1"/>
    <x v="8"/>
    <n v="2"/>
    <s v="Single"/>
    <n v="2177"/>
    <n v="8318"/>
    <n v="1"/>
    <x v="1"/>
    <n v="16"/>
    <n v="3"/>
    <n v="1"/>
    <n v="0"/>
    <n v="6"/>
    <n v="3"/>
    <n v="3"/>
    <n v="6"/>
    <n v="3"/>
    <n v="0"/>
    <n v="4"/>
    <s v="40-49"/>
  </r>
  <r>
    <n v="53"/>
    <x v="1"/>
    <s v="Travel_Frequently"/>
    <n v="124"/>
    <x v="0"/>
    <n v="2"/>
    <n v="3"/>
    <s v="Marketing"/>
    <n v="1050"/>
    <n v="3"/>
    <s v="Female"/>
    <n v="38"/>
    <n v="2"/>
    <n v="3"/>
    <x v="0"/>
    <n v="2"/>
    <s v="Married"/>
    <n v="7525"/>
    <n v="23537"/>
    <n v="2"/>
    <x v="1"/>
    <n v="12"/>
    <n v="3"/>
    <n v="1"/>
    <n v="1"/>
    <n v="30"/>
    <n v="2"/>
    <n v="3"/>
    <n v="15"/>
    <n v="7"/>
    <n v="6"/>
    <n v="12"/>
    <s v="50+"/>
  </r>
  <r>
    <n v="36"/>
    <x v="0"/>
    <s v="Travel_Rarely"/>
    <n v="660"/>
    <x v="1"/>
    <n v="15"/>
    <n v="3"/>
    <s v="Other"/>
    <n v="1052"/>
    <n v="1"/>
    <s v="Male"/>
    <n v="81"/>
    <n v="3"/>
    <n v="2"/>
    <x v="2"/>
    <n v="3"/>
    <s v="Divorced"/>
    <n v="4834"/>
    <n v="7858"/>
    <n v="7"/>
    <x v="1"/>
    <n v="14"/>
    <n v="3"/>
    <n v="2"/>
    <n v="1"/>
    <n v="9"/>
    <n v="3"/>
    <n v="2"/>
    <n v="1"/>
    <n v="0"/>
    <n v="0"/>
    <n v="0"/>
    <s v="30-39"/>
  </r>
  <r>
    <n v="26"/>
    <x v="0"/>
    <s v="Travel_Frequently"/>
    <n v="342"/>
    <x v="1"/>
    <n v="2"/>
    <n v="3"/>
    <s v="Life Sciences"/>
    <n v="1053"/>
    <n v="1"/>
    <s v="Male"/>
    <n v="57"/>
    <n v="3"/>
    <n v="1"/>
    <x v="1"/>
    <n v="1"/>
    <s v="Married"/>
    <n v="2042"/>
    <n v="15346"/>
    <n v="6"/>
    <x v="0"/>
    <n v="14"/>
    <n v="3"/>
    <n v="2"/>
    <n v="1"/>
    <n v="6"/>
    <n v="2"/>
    <n v="3"/>
    <n v="3"/>
    <n v="2"/>
    <n v="1"/>
    <n v="2"/>
    <s v="Below 30"/>
  </r>
  <r>
    <n v="34"/>
    <x v="1"/>
    <s v="Travel_Rarely"/>
    <n v="1333"/>
    <x v="0"/>
    <n v="10"/>
    <n v="4"/>
    <s v="Life Sciences"/>
    <n v="1055"/>
    <n v="3"/>
    <s v="Female"/>
    <n v="87"/>
    <n v="3"/>
    <n v="1"/>
    <x v="6"/>
    <n v="3"/>
    <s v="Married"/>
    <n v="2220"/>
    <n v="18410"/>
    <n v="1"/>
    <x v="0"/>
    <n v="19"/>
    <n v="3"/>
    <n v="4"/>
    <n v="1"/>
    <n v="1"/>
    <n v="2"/>
    <n v="3"/>
    <n v="1"/>
    <n v="1"/>
    <n v="0"/>
    <n v="0"/>
    <s v="30-39"/>
  </r>
  <r>
    <n v="28"/>
    <x v="1"/>
    <s v="Travel_Rarely"/>
    <n v="1144"/>
    <x v="0"/>
    <n v="10"/>
    <n v="1"/>
    <s v="Medical"/>
    <n v="1056"/>
    <n v="4"/>
    <s v="Male"/>
    <n v="74"/>
    <n v="3"/>
    <n v="1"/>
    <x v="6"/>
    <n v="2"/>
    <s v="Married"/>
    <n v="1052"/>
    <n v="23384"/>
    <n v="1"/>
    <x v="1"/>
    <n v="22"/>
    <n v="4"/>
    <n v="2"/>
    <n v="0"/>
    <n v="1"/>
    <n v="5"/>
    <n v="3"/>
    <n v="1"/>
    <n v="0"/>
    <n v="0"/>
    <n v="0"/>
    <s v="Below 30"/>
  </r>
  <r>
    <n v="38"/>
    <x v="1"/>
    <s v="Travel_Frequently"/>
    <n v="1186"/>
    <x v="1"/>
    <n v="3"/>
    <n v="4"/>
    <s v="Other"/>
    <n v="1060"/>
    <n v="3"/>
    <s v="Male"/>
    <n v="44"/>
    <n v="3"/>
    <n v="1"/>
    <x v="1"/>
    <n v="3"/>
    <s v="Married"/>
    <n v="2821"/>
    <n v="2997"/>
    <n v="3"/>
    <x v="1"/>
    <n v="16"/>
    <n v="3"/>
    <n v="1"/>
    <n v="1"/>
    <n v="8"/>
    <n v="2"/>
    <n v="3"/>
    <n v="2"/>
    <n v="2"/>
    <n v="2"/>
    <n v="2"/>
    <s v="30-39"/>
  </r>
  <r>
    <n v="50"/>
    <x v="1"/>
    <s v="Travel_Rarely"/>
    <n v="1464"/>
    <x v="1"/>
    <n v="2"/>
    <n v="4"/>
    <s v="Medical"/>
    <n v="1061"/>
    <n v="2"/>
    <s v="Male"/>
    <n v="62"/>
    <n v="3"/>
    <n v="5"/>
    <x v="7"/>
    <n v="3"/>
    <s v="Married"/>
    <n v="19237"/>
    <n v="12853"/>
    <n v="2"/>
    <x v="0"/>
    <n v="11"/>
    <n v="3"/>
    <n v="4"/>
    <n v="1"/>
    <n v="29"/>
    <n v="2"/>
    <n v="2"/>
    <n v="8"/>
    <n v="1"/>
    <n v="7"/>
    <n v="7"/>
    <s v="50+"/>
  </r>
  <r>
    <n v="37"/>
    <x v="1"/>
    <s v="Travel_Rarely"/>
    <n v="124"/>
    <x v="1"/>
    <n v="3"/>
    <n v="3"/>
    <s v="Other"/>
    <n v="1062"/>
    <n v="4"/>
    <s v="Female"/>
    <n v="35"/>
    <n v="3"/>
    <n v="2"/>
    <x v="4"/>
    <n v="2"/>
    <s v="Single"/>
    <n v="4107"/>
    <n v="13848"/>
    <n v="3"/>
    <x v="1"/>
    <n v="15"/>
    <n v="3"/>
    <n v="1"/>
    <n v="0"/>
    <n v="8"/>
    <n v="3"/>
    <n v="2"/>
    <n v="4"/>
    <n v="3"/>
    <n v="0"/>
    <n v="1"/>
    <s v="30-39"/>
  </r>
  <r>
    <n v="40"/>
    <x v="1"/>
    <s v="Travel_Rarely"/>
    <n v="300"/>
    <x v="0"/>
    <n v="26"/>
    <n v="3"/>
    <s v="Marketing"/>
    <n v="1066"/>
    <n v="3"/>
    <s v="Male"/>
    <n v="74"/>
    <n v="3"/>
    <n v="2"/>
    <x v="0"/>
    <n v="1"/>
    <s v="Married"/>
    <n v="8396"/>
    <n v="22217"/>
    <n v="1"/>
    <x v="1"/>
    <n v="14"/>
    <n v="3"/>
    <n v="2"/>
    <n v="1"/>
    <n v="8"/>
    <n v="3"/>
    <n v="2"/>
    <n v="7"/>
    <n v="7"/>
    <n v="7"/>
    <n v="5"/>
    <s v="40-49"/>
  </r>
  <r>
    <n v="26"/>
    <x v="1"/>
    <s v="Travel_Frequently"/>
    <n v="921"/>
    <x v="1"/>
    <n v="1"/>
    <n v="1"/>
    <s v="Medical"/>
    <n v="1068"/>
    <n v="1"/>
    <s v="Female"/>
    <n v="66"/>
    <n v="2"/>
    <n v="1"/>
    <x v="1"/>
    <n v="3"/>
    <s v="Divorced"/>
    <n v="2007"/>
    <n v="25265"/>
    <n v="1"/>
    <x v="1"/>
    <n v="13"/>
    <n v="3"/>
    <n v="3"/>
    <n v="2"/>
    <n v="5"/>
    <n v="5"/>
    <n v="3"/>
    <n v="5"/>
    <n v="3"/>
    <n v="1"/>
    <n v="3"/>
    <s v="Below 30"/>
  </r>
  <r>
    <n v="46"/>
    <x v="1"/>
    <s v="Travel_Rarely"/>
    <n v="430"/>
    <x v="1"/>
    <n v="1"/>
    <n v="4"/>
    <s v="Medical"/>
    <n v="1069"/>
    <n v="4"/>
    <s v="Male"/>
    <n v="40"/>
    <n v="3"/>
    <n v="5"/>
    <x v="7"/>
    <n v="4"/>
    <s v="Divorced"/>
    <n v="19627"/>
    <n v="21445"/>
    <n v="9"/>
    <x v="1"/>
    <n v="17"/>
    <n v="3"/>
    <n v="4"/>
    <n v="2"/>
    <n v="23"/>
    <n v="0"/>
    <n v="3"/>
    <n v="2"/>
    <n v="2"/>
    <n v="2"/>
    <n v="2"/>
    <s v="40-49"/>
  </r>
  <r>
    <n v="54"/>
    <x v="1"/>
    <s v="Travel_Rarely"/>
    <n v="1082"/>
    <x v="0"/>
    <n v="2"/>
    <n v="4"/>
    <s v="Life Sciences"/>
    <n v="1070"/>
    <n v="3"/>
    <s v="Female"/>
    <n v="41"/>
    <n v="2"/>
    <n v="3"/>
    <x v="0"/>
    <n v="3"/>
    <s v="Married"/>
    <n v="10686"/>
    <n v="8392"/>
    <n v="6"/>
    <x v="1"/>
    <n v="11"/>
    <n v="3"/>
    <n v="2"/>
    <n v="1"/>
    <n v="13"/>
    <n v="4"/>
    <n v="3"/>
    <n v="9"/>
    <n v="4"/>
    <n v="7"/>
    <n v="0"/>
    <s v="50+"/>
  </r>
  <r>
    <n v="56"/>
    <x v="1"/>
    <s v="Travel_Frequently"/>
    <n v="1240"/>
    <x v="1"/>
    <n v="9"/>
    <n v="3"/>
    <s v="Medical"/>
    <n v="1071"/>
    <n v="1"/>
    <s v="Female"/>
    <n v="63"/>
    <n v="3"/>
    <n v="1"/>
    <x v="1"/>
    <n v="3"/>
    <s v="Married"/>
    <n v="2942"/>
    <n v="12154"/>
    <n v="2"/>
    <x v="1"/>
    <n v="19"/>
    <n v="3"/>
    <n v="2"/>
    <n v="1"/>
    <n v="18"/>
    <n v="4"/>
    <n v="3"/>
    <n v="5"/>
    <n v="4"/>
    <n v="0"/>
    <n v="3"/>
    <s v="50+"/>
  </r>
  <r>
    <n v="36"/>
    <x v="1"/>
    <s v="Travel_Rarely"/>
    <n v="796"/>
    <x v="1"/>
    <n v="12"/>
    <n v="5"/>
    <s v="Medical"/>
    <n v="1073"/>
    <n v="4"/>
    <s v="Female"/>
    <n v="51"/>
    <n v="2"/>
    <n v="3"/>
    <x v="3"/>
    <n v="4"/>
    <s v="Single"/>
    <n v="8858"/>
    <n v="15669"/>
    <n v="0"/>
    <x v="1"/>
    <n v="11"/>
    <n v="3"/>
    <n v="2"/>
    <n v="0"/>
    <n v="15"/>
    <n v="2"/>
    <n v="2"/>
    <n v="14"/>
    <n v="8"/>
    <n v="7"/>
    <n v="8"/>
    <s v="30-39"/>
  </r>
  <r>
    <n v="55"/>
    <x v="1"/>
    <s v="Non-Travel"/>
    <n v="444"/>
    <x v="1"/>
    <n v="2"/>
    <n v="1"/>
    <s v="Medical"/>
    <n v="1074"/>
    <n v="3"/>
    <s v="Male"/>
    <n v="40"/>
    <n v="2"/>
    <n v="4"/>
    <x v="5"/>
    <n v="1"/>
    <s v="Single"/>
    <n v="16756"/>
    <n v="17323"/>
    <n v="7"/>
    <x v="1"/>
    <n v="15"/>
    <n v="3"/>
    <n v="2"/>
    <n v="0"/>
    <n v="31"/>
    <n v="3"/>
    <n v="4"/>
    <n v="9"/>
    <n v="7"/>
    <n v="6"/>
    <n v="2"/>
    <s v="50+"/>
  </r>
  <r>
    <n v="43"/>
    <x v="1"/>
    <s v="Travel_Rarely"/>
    <n v="415"/>
    <x v="0"/>
    <n v="25"/>
    <n v="3"/>
    <s v="Medical"/>
    <n v="1076"/>
    <n v="3"/>
    <s v="Male"/>
    <n v="79"/>
    <n v="2"/>
    <n v="3"/>
    <x v="0"/>
    <n v="4"/>
    <s v="Divorced"/>
    <n v="10798"/>
    <n v="5268"/>
    <n v="5"/>
    <x v="1"/>
    <n v="13"/>
    <n v="3"/>
    <n v="3"/>
    <n v="1"/>
    <n v="18"/>
    <n v="5"/>
    <n v="3"/>
    <n v="1"/>
    <n v="0"/>
    <n v="0"/>
    <n v="0"/>
    <s v="40-49"/>
  </r>
  <r>
    <n v="20"/>
    <x v="0"/>
    <s v="Travel_Frequently"/>
    <n v="769"/>
    <x v="0"/>
    <n v="9"/>
    <n v="3"/>
    <s v="Marketing"/>
    <n v="1077"/>
    <n v="4"/>
    <s v="Female"/>
    <n v="54"/>
    <n v="3"/>
    <n v="1"/>
    <x v="6"/>
    <n v="4"/>
    <s v="Single"/>
    <n v="2323"/>
    <n v="17205"/>
    <n v="1"/>
    <x v="0"/>
    <n v="14"/>
    <n v="3"/>
    <n v="2"/>
    <n v="0"/>
    <n v="2"/>
    <n v="3"/>
    <n v="3"/>
    <n v="2"/>
    <n v="2"/>
    <n v="0"/>
    <n v="2"/>
    <s v="Below 30"/>
  </r>
  <r>
    <n v="21"/>
    <x v="0"/>
    <s v="Travel_Rarely"/>
    <n v="1334"/>
    <x v="1"/>
    <n v="10"/>
    <n v="3"/>
    <s v="Life Sciences"/>
    <n v="1079"/>
    <n v="3"/>
    <s v="Female"/>
    <n v="36"/>
    <n v="2"/>
    <n v="1"/>
    <x v="2"/>
    <n v="1"/>
    <s v="Single"/>
    <n v="1416"/>
    <n v="17258"/>
    <n v="1"/>
    <x v="1"/>
    <n v="13"/>
    <n v="3"/>
    <n v="1"/>
    <n v="0"/>
    <n v="1"/>
    <n v="6"/>
    <n v="2"/>
    <n v="1"/>
    <n v="0"/>
    <n v="1"/>
    <n v="0"/>
    <s v="Below 30"/>
  </r>
  <r>
    <n v="46"/>
    <x v="1"/>
    <s v="Travel_Rarely"/>
    <n v="1003"/>
    <x v="1"/>
    <n v="8"/>
    <n v="4"/>
    <s v="Life Sciences"/>
    <n v="1080"/>
    <n v="4"/>
    <s v="Female"/>
    <n v="74"/>
    <n v="2"/>
    <n v="2"/>
    <x v="1"/>
    <n v="1"/>
    <s v="Divorced"/>
    <n v="4615"/>
    <n v="21029"/>
    <n v="8"/>
    <x v="0"/>
    <n v="23"/>
    <n v="4"/>
    <n v="1"/>
    <n v="3"/>
    <n v="19"/>
    <n v="2"/>
    <n v="3"/>
    <n v="16"/>
    <n v="13"/>
    <n v="1"/>
    <n v="7"/>
    <s v="40-49"/>
  </r>
  <r>
    <n v="51"/>
    <x v="0"/>
    <s v="Travel_Rarely"/>
    <n v="1323"/>
    <x v="1"/>
    <n v="4"/>
    <n v="4"/>
    <s v="Life Sciences"/>
    <n v="1081"/>
    <n v="1"/>
    <s v="Male"/>
    <n v="34"/>
    <n v="3"/>
    <n v="1"/>
    <x v="1"/>
    <n v="3"/>
    <s v="Married"/>
    <n v="2461"/>
    <n v="10332"/>
    <n v="9"/>
    <x v="0"/>
    <n v="12"/>
    <n v="3"/>
    <n v="3"/>
    <n v="3"/>
    <n v="18"/>
    <n v="2"/>
    <n v="4"/>
    <n v="10"/>
    <n v="0"/>
    <n v="2"/>
    <n v="7"/>
    <s v="50+"/>
  </r>
  <r>
    <n v="28"/>
    <x v="0"/>
    <s v="Non-Travel"/>
    <n v="1366"/>
    <x v="1"/>
    <n v="24"/>
    <n v="2"/>
    <s v="Technical Degree"/>
    <n v="1082"/>
    <n v="2"/>
    <s v="Male"/>
    <n v="72"/>
    <n v="2"/>
    <n v="3"/>
    <x v="4"/>
    <n v="1"/>
    <s v="Single"/>
    <n v="8722"/>
    <n v="12355"/>
    <n v="1"/>
    <x v="1"/>
    <n v="12"/>
    <n v="3"/>
    <n v="1"/>
    <n v="0"/>
    <n v="10"/>
    <n v="2"/>
    <n v="2"/>
    <n v="10"/>
    <n v="7"/>
    <n v="1"/>
    <n v="9"/>
    <s v="Below 30"/>
  </r>
  <r>
    <n v="26"/>
    <x v="1"/>
    <s v="Travel_Rarely"/>
    <n v="192"/>
    <x v="1"/>
    <n v="1"/>
    <n v="2"/>
    <s v="Medical"/>
    <n v="1083"/>
    <n v="1"/>
    <s v="Male"/>
    <n v="59"/>
    <n v="2"/>
    <n v="1"/>
    <x v="2"/>
    <n v="1"/>
    <s v="Married"/>
    <n v="3955"/>
    <n v="11141"/>
    <n v="1"/>
    <x v="1"/>
    <n v="16"/>
    <n v="3"/>
    <n v="1"/>
    <n v="2"/>
    <n v="6"/>
    <n v="2"/>
    <n v="3"/>
    <n v="5"/>
    <n v="3"/>
    <n v="1"/>
    <n v="3"/>
    <s v="Below 30"/>
  </r>
  <r>
    <n v="30"/>
    <x v="1"/>
    <s v="Travel_Rarely"/>
    <n v="1176"/>
    <x v="1"/>
    <n v="20"/>
    <n v="3"/>
    <s v="Other"/>
    <n v="1084"/>
    <n v="3"/>
    <s v="Male"/>
    <n v="85"/>
    <n v="3"/>
    <n v="2"/>
    <x v="3"/>
    <n v="1"/>
    <s v="Married"/>
    <n v="9957"/>
    <n v="9096"/>
    <n v="0"/>
    <x v="1"/>
    <n v="15"/>
    <n v="3"/>
    <n v="3"/>
    <n v="1"/>
    <n v="7"/>
    <n v="1"/>
    <n v="2"/>
    <n v="6"/>
    <n v="2"/>
    <n v="0"/>
    <n v="2"/>
    <s v="30-39"/>
  </r>
  <r>
    <n v="41"/>
    <x v="1"/>
    <s v="Travel_Rarely"/>
    <n v="509"/>
    <x v="1"/>
    <n v="7"/>
    <n v="2"/>
    <s v="Technical Degree"/>
    <n v="1085"/>
    <n v="2"/>
    <s v="Female"/>
    <n v="43"/>
    <n v="4"/>
    <n v="1"/>
    <x v="1"/>
    <n v="3"/>
    <s v="Married"/>
    <n v="3376"/>
    <n v="18863"/>
    <n v="1"/>
    <x v="1"/>
    <n v="13"/>
    <n v="3"/>
    <n v="3"/>
    <n v="0"/>
    <n v="10"/>
    <n v="3"/>
    <n v="3"/>
    <n v="10"/>
    <n v="6"/>
    <n v="0"/>
    <n v="8"/>
    <s v="40-49"/>
  </r>
  <r>
    <n v="38"/>
    <x v="1"/>
    <s v="Travel_Rarely"/>
    <n v="330"/>
    <x v="1"/>
    <n v="17"/>
    <n v="1"/>
    <s v="Life Sciences"/>
    <n v="1088"/>
    <n v="3"/>
    <s v="Female"/>
    <n v="65"/>
    <n v="2"/>
    <n v="3"/>
    <x v="4"/>
    <n v="3"/>
    <s v="Married"/>
    <n v="8823"/>
    <n v="24608"/>
    <n v="0"/>
    <x v="1"/>
    <n v="18"/>
    <n v="3"/>
    <n v="1"/>
    <n v="1"/>
    <n v="20"/>
    <n v="4"/>
    <n v="2"/>
    <n v="19"/>
    <n v="9"/>
    <n v="1"/>
    <n v="9"/>
    <s v="30-39"/>
  </r>
  <r>
    <n v="40"/>
    <x v="1"/>
    <s v="Travel_Rarely"/>
    <n v="1492"/>
    <x v="1"/>
    <n v="20"/>
    <n v="4"/>
    <s v="Technical Degree"/>
    <n v="1092"/>
    <n v="1"/>
    <s v="Male"/>
    <n v="61"/>
    <n v="3"/>
    <n v="3"/>
    <x v="4"/>
    <n v="4"/>
    <s v="Married"/>
    <n v="10322"/>
    <n v="26542"/>
    <n v="4"/>
    <x v="1"/>
    <n v="20"/>
    <n v="4"/>
    <n v="4"/>
    <n v="1"/>
    <n v="14"/>
    <n v="6"/>
    <n v="3"/>
    <n v="11"/>
    <n v="10"/>
    <n v="11"/>
    <n v="1"/>
    <s v="40-49"/>
  </r>
  <r>
    <n v="27"/>
    <x v="1"/>
    <s v="Non-Travel"/>
    <n v="1277"/>
    <x v="1"/>
    <n v="8"/>
    <n v="5"/>
    <s v="Life Sciences"/>
    <n v="1094"/>
    <n v="1"/>
    <s v="Male"/>
    <n v="87"/>
    <n v="1"/>
    <n v="1"/>
    <x v="2"/>
    <n v="3"/>
    <s v="Married"/>
    <n v="4621"/>
    <n v="5869"/>
    <n v="1"/>
    <x v="1"/>
    <n v="19"/>
    <n v="3"/>
    <n v="4"/>
    <n v="3"/>
    <n v="3"/>
    <n v="4"/>
    <n v="3"/>
    <n v="3"/>
    <n v="2"/>
    <n v="1"/>
    <n v="2"/>
    <s v="Below 30"/>
  </r>
  <r>
    <n v="55"/>
    <x v="1"/>
    <s v="Travel_Frequently"/>
    <n v="1091"/>
    <x v="1"/>
    <n v="2"/>
    <n v="1"/>
    <s v="Life Sciences"/>
    <n v="1096"/>
    <n v="4"/>
    <s v="Male"/>
    <n v="65"/>
    <n v="3"/>
    <n v="3"/>
    <x v="3"/>
    <n v="2"/>
    <s v="Married"/>
    <n v="10976"/>
    <n v="15813"/>
    <n v="3"/>
    <x v="1"/>
    <n v="18"/>
    <n v="3"/>
    <n v="2"/>
    <n v="1"/>
    <n v="23"/>
    <n v="4"/>
    <n v="3"/>
    <n v="3"/>
    <n v="2"/>
    <n v="1"/>
    <n v="2"/>
    <s v="50+"/>
  </r>
  <r>
    <n v="28"/>
    <x v="1"/>
    <s v="Travel_Rarely"/>
    <n v="857"/>
    <x v="1"/>
    <n v="10"/>
    <n v="3"/>
    <s v="Other"/>
    <n v="1097"/>
    <n v="3"/>
    <s v="Female"/>
    <n v="59"/>
    <n v="3"/>
    <n v="2"/>
    <x v="1"/>
    <n v="3"/>
    <s v="Single"/>
    <n v="3660"/>
    <n v="7909"/>
    <n v="3"/>
    <x v="1"/>
    <n v="13"/>
    <n v="3"/>
    <n v="4"/>
    <n v="0"/>
    <n v="10"/>
    <n v="4"/>
    <n v="4"/>
    <n v="8"/>
    <n v="7"/>
    <n v="1"/>
    <n v="7"/>
    <s v="Below 30"/>
  </r>
  <r>
    <n v="44"/>
    <x v="0"/>
    <s v="Travel_Rarely"/>
    <n v="1376"/>
    <x v="2"/>
    <n v="1"/>
    <n v="2"/>
    <s v="Medical"/>
    <n v="1098"/>
    <n v="2"/>
    <s v="Male"/>
    <n v="91"/>
    <n v="2"/>
    <n v="3"/>
    <x v="8"/>
    <n v="1"/>
    <s v="Married"/>
    <n v="10482"/>
    <n v="2326"/>
    <n v="9"/>
    <x v="1"/>
    <n v="14"/>
    <n v="3"/>
    <n v="4"/>
    <n v="1"/>
    <n v="24"/>
    <n v="1"/>
    <n v="3"/>
    <n v="20"/>
    <n v="6"/>
    <n v="3"/>
    <n v="6"/>
    <s v="40-49"/>
  </r>
  <r>
    <n v="33"/>
    <x v="1"/>
    <s v="Travel_Rarely"/>
    <n v="654"/>
    <x v="1"/>
    <n v="5"/>
    <n v="3"/>
    <s v="Life Sciences"/>
    <n v="1099"/>
    <n v="4"/>
    <s v="Male"/>
    <n v="34"/>
    <n v="2"/>
    <n v="3"/>
    <x v="4"/>
    <n v="4"/>
    <s v="Divorced"/>
    <n v="7119"/>
    <n v="21214"/>
    <n v="4"/>
    <x v="1"/>
    <n v="15"/>
    <n v="3"/>
    <n v="3"/>
    <n v="1"/>
    <n v="9"/>
    <n v="2"/>
    <n v="3"/>
    <n v="3"/>
    <n v="2"/>
    <n v="1"/>
    <n v="2"/>
    <s v="30-39"/>
  </r>
  <r>
    <n v="35"/>
    <x v="0"/>
    <s v="Travel_Rarely"/>
    <n v="1204"/>
    <x v="0"/>
    <n v="4"/>
    <n v="3"/>
    <s v="Technical Degree"/>
    <n v="1100"/>
    <n v="4"/>
    <s v="Male"/>
    <n v="86"/>
    <n v="3"/>
    <n v="3"/>
    <x v="0"/>
    <n v="1"/>
    <s v="Single"/>
    <n v="9582"/>
    <n v="10333"/>
    <n v="0"/>
    <x v="0"/>
    <n v="22"/>
    <n v="4"/>
    <n v="1"/>
    <n v="0"/>
    <n v="9"/>
    <n v="2"/>
    <n v="3"/>
    <n v="8"/>
    <n v="7"/>
    <n v="4"/>
    <n v="7"/>
    <s v="30-39"/>
  </r>
  <r>
    <n v="33"/>
    <x v="0"/>
    <s v="Travel_Frequently"/>
    <n v="827"/>
    <x v="1"/>
    <n v="29"/>
    <n v="4"/>
    <s v="Medical"/>
    <n v="1101"/>
    <n v="1"/>
    <s v="Female"/>
    <n v="54"/>
    <n v="2"/>
    <n v="2"/>
    <x v="1"/>
    <n v="3"/>
    <s v="Single"/>
    <n v="4508"/>
    <n v="3129"/>
    <n v="1"/>
    <x v="1"/>
    <n v="22"/>
    <n v="4"/>
    <n v="2"/>
    <n v="0"/>
    <n v="14"/>
    <n v="4"/>
    <n v="3"/>
    <n v="13"/>
    <n v="7"/>
    <n v="3"/>
    <n v="8"/>
    <s v="30-39"/>
  </r>
  <r>
    <n v="28"/>
    <x v="1"/>
    <s v="Travel_Rarely"/>
    <n v="895"/>
    <x v="1"/>
    <n v="15"/>
    <n v="2"/>
    <s v="Life Sciences"/>
    <n v="1102"/>
    <n v="1"/>
    <s v="Male"/>
    <n v="50"/>
    <n v="3"/>
    <n v="1"/>
    <x v="2"/>
    <n v="3"/>
    <s v="Divorced"/>
    <n v="2207"/>
    <n v="22482"/>
    <n v="1"/>
    <x v="1"/>
    <n v="16"/>
    <n v="3"/>
    <n v="4"/>
    <n v="1"/>
    <n v="4"/>
    <n v="5"/>
    <n v="2"/>
    <n v="4"/>
    <n v="2"/>
    <n v="2"/>
    <n v="2"/>
    <s v="Below 30"/>
  </r>
  <r>
    <n v="34"/>
    <x v="1"/>
    <s v="Travel_Frequently"/>
    <n v="618"/>
    <x v="1"/>
    <n v="3"/>
    <n v="1"/>
    <s v="Life Sciences"/>
    <n v="1103"/>
    <n v="1"/>
    <s v="Male"/>
    <n v="45"/>
    <n v="3"/>
    <n v="2"/>
    <x v="4"/>
    <n v="4"/>
    <s v="Single"/>
    <n v="7756"/>
    <n v="22266"/>
    <n v="0"/>
    <x v="1"/>
    <n v="17"/>
    <n v="3"/>
    <n v="3"/>
    <n v="0"/>
    <n v="7"/>
    <n v="1"/>
    <n v="2"/>
    <n v="6"/>
    <n v="2"/>
    <n v="0"/>
    <n v="4"/>
    <s v="30-39"/>
  </r>
  <r>
    <n v="37"/>
    <x v="1"/>
    <s v="Travel_Rarely"/>
    <n v="309"/>
    <x v="0"/>
    <n v="10"/>
    <n v="4"/>
    <s v="Life Sciences"/>
    <n v="1105"/>
    <n v="4"/>
    <s v="Female"/>
    <n v="88"/>
    <n v="2"/>
    <n v="2"/>
    <x v="0"/>
    <n v="4"/>
    <s v="Divorced"/>
    <n v="6694"/>
    <n v="24223"/>
    <n v="2"/>
    <x v="0"/>
    <n v="14"/>
    <n v="3"/>
    <n v="3"/>
    <n v="3"/>
    <n v="8"/>
    <n v="5"/>
    <n v="3"/>
    <n v="1"/>
    <n v="0"/>
    <n v="0"/>
    <n v="0"/>
    <s v="30-39"/>
  </r>
  <r>
    <n v="25"/>
    <x v="0"/>
    <s v="Travel_Rarely"/>
    <n v="1219"/>
    <x v="1"/>
    <n v="4"/>
    <n v="1"/>
    <s v="Technical Degree"/>
    <n v="1106"/>
    <n v="4"/>
    <s v="Male"/>
    <n v="32"/>
    <n v="3"/>
    <n v="1"/>
    <x v="2"/>
    <n v="4"/>
    <s v="Married"/>
    <n v="3691"/>
    <n v="4605"/>
    <n v="1"/>
    <x v="0"/>
    <n v="15"/>
    <n v="3"/>
    <n v="2"/>
    <n v="1"/>
    <n v="7"/>
    <n v="3"/>
    <n v="4"/>
    <n v="7"/>
    <n v="7"/>
    <n v="5"/>
    <n v="6"/>
    <s v="Below 30"/>
  </r>
  <r>
    <n v="26"/>
    <x v="0"/>
    <s v="Travel_Rarely"/>
    <n v="1330"/>
    <x v="1"/>
    <n v="21"/>
    <n v="3"/>
    <s v="Medical"/>
    <n v="1107"/>
    <n v="1"/>
    <s v="Male"/>
    <n v="37"/>
    <n v="3"/>
    <n v="1"/>
    <x v="2"/>
    <n v="3"/>
    <s v="Divorced"/>
    <n v="2377"/>
    <n v="19373"/>
    <n v="1"/>
    <x v="1"/>
    <n v="20"/>
    <n v="4"/>
    <n v="3"/>
    <n v="1"/>
    <n v="1"/>
    <n v="0"/>
    <n v="2"/>
    <n v="1"/>
    <n v="1"/>
    <n v="0"/>
    <n v="0"/>
    <s v="Below 30"/>
  </r>
  <r>
    <n v="33"/>
    <x v="0"/>
    <s v="Travel_Rarely"/>
    <n v="1017"/>
    <x v="1"/>
    <n v="25"/>
    <n v="3"/>
    <s v="Medical"/>
    <n v="1108"/>
    <n v="1"/>
    <s v="Male"/>
    <n v="55"/>
    <n v="2"/>
    <n v="1"/>
    <x v="1"/>
    <n v="2"/>
    <s v="Single"/>
    <n v="2313"/>
    <n v="2993"/>
    <n v="4"/>
    <x v="0"/>
    <n v="20"/>
    <n v="4"/>
    <n v="2"/>
    <n v="0"/>
    <n v="5"/>
    <n v="0"/>
    <n v="3"/>
    <n v="2"/>
    <n v="2"/>
    <n v="2"/>
    <n v="2"/>
    <s v="30-39"/>
  </r>
  <r>
    <n v="42"/>
    <x v="1"/>
    <s v="Travel_Rarely"/>
    <n v="469"/>
    <x v="1"/>
    <n v="2"/>
    <n v="2"/>
    <s v="Medical"/>
    <n v="1109"/>
    <n v="4"/>
    <s v="Male"/>
    <n v="35"/>
    <n v="3"/>
    <n v="4"/>
    <x v="5"/>
    <n v="1"/>
    <s v="Married"/>
    <n v="17665"/>
    <n v="14399"/>
    <n v="0"/>
    <x v="1"/>
    <n v="17"/>
    <n v="3"/>
    <n v="4"/>
    <n v="1"/>
    <n v="23"/>
    <n v="3"/>
    <n v="3"/>
    <n v="22"/>
    <n v="6"/>
    <n v="13"/>
    <n v="7"/>
    <s v="40-49"/>
  </r>
  <r>
    <n v="28"/>
    <x v="0"/>
    <s v="Travel_Frequently"/>
    <n v="1009"/>
    <x v="1"/>
    <n v="1"/>
    <n v="3"/>
    <s v="Medical"/>
    <n v="1111"/>
    <n v="1"/>
    <s v="Male"/>
    <n v="45"/>
    <n v="2"/>
    <n v="1"/>
    <x v="2"/>
    <n v="2"/>
    <s v="Divorced"/>
    <n v="2596"/>
    <n v="7160"/>
    <n v="1"/>
    <x v="1"/>
    <n v="15"/>
    <n v="3"/>
    <n v="1"/>
    <n v="2"/>
    <n v="1"/>
    <n v="2"/>
    <n v="3"/>
    <n v="1"/>
    <n v="0"/>
    <n v="0"/>
    <n v="0"/>
    <s v="Below 30"/>
  </r>
  <r>
    <n v="50"/>
    <x v="0"/>
    <s v="Travel_Frequently"/>
    <n v="959"/>
    <x v="0"/>
    <n v="1"/>
    <n v="4"/>
    <s v="Other"/>
    <n v="1113"/>
    <n v="4"/>
    <s v="Male"/>
    <n v="81"/>
    <n v="3"/>
    <n v="2"/>
    <x v="0"/>
    <n v="3"/>
    <s v="Single"/>
    <n v="4728"/>
    <n v="17251"/>
    <n v="3"/>
    <x v="0"/>
    <n v="14"/>
    <n v="3"/>
    <n v="4"/>
    <n v="0"/>
    <n v="5"/>
    <n v="4"/>
    <n v="3"/>
    <n v="0"/>
    <n v="0"/>
    <n v="0"/>
    <n v="0"/>
    <s v="50+"/>
  </r>
  <r>
    <n v="33"/>
    <x v="1"/>
    <s v="Travel_Frequently"/>
    <n v="970"/>
    <x v="0"/>
    <n v="7"/>
    <n v="3"/>
    <s v="Life Sciences"/>
    <n v="1114"/>
    <n v="4"/>
    <s v="Female"/>
    <n v="30"/>
    <n v="3"/>
    <n v="2"/>
    <x v="0"/>
    <n v="2"/>
    <s v="Married"/>
    <n v="4302"/>
    <n v="13401"/>
    <n v="0"/>
    <x v="1"/>
    <n v="17"/>
    <n v="3"/>
    <n v="3"/>
    <n v="1"/>
    <n v="4"/>
    <n v="3"/>
    <n v="3"/>
    <n v="3"/>
    <n v="2"/>
    <n v="0"/>
    <n v="2"/>
    <s v="30-39"/>
  </r>
  <r>
    <n v="34"/>
    <x v="1"/>
    <s v="Non-Travel"/>
    <n v="697"/>
    <x v="1"/>
    <n v="3"/>
    <n v="4"/>
    <s v="Life Sciences"/>
    <n v="1115"/>
    <n v="3"/>
    <s v="Male"/>
    <n v="40"/>
    <n v="2"/>
    <n v="1"/>
    <x v="1"/>
    <n v="4"/>
    <s v="Married"/>
    <n v="2979"/>
    <n v="22478"/>
    <n v="3"/>
    <x v="1"/>
    <n v="17"/>
    <n v="3"/>
    <n v="4"/>
    <n v="3"/>
    <n v="6"/>
    <n v="2"/>
    <n v="3"/>
    <n v="0"/>
    <n v="0"/>
    <n v="0"/>
    <n v="0"/>
    <s v="30-39"/>
  </r>
  <r>
    <n v="48"/>
    <x v="1"/>
    <s v="Non-Travel"/>
    <n v="1262"/>
    <x v="1"/>
    <n v="1"/>
    <n v="4"/>
    <s v="Medical"/>
    <n v="1116"/>
    <n v="1"/>
    <s v="Male"/>
    <n v="35"/>
    <n v="4"/>
    <n v="4"/>
    <x v="5"/>
    <n v="4"/>
    <s v="Single"/>
    <n v="16885"/>
    <n v="16154"/>
    <n v="2"/>
    <x v="1"/>
    <n v="22"/>
    <n v="4"/>
    <n v="3"/>
    <n v="0"/>
    <n v="27"/>
    <n v="3"/>
    <n v="2"/>
    <n v="5"/>
    <n v="4"/>
    <n v="2"/>
    <n v="1"/>
    <s v="40-49"/>
  </r>
  <r>
    <n v="45"/>
    <x v="1"/>
    <s v="Non-Travel"/>
    <n v="1050"/>
    <x v="0"/>
    <n v="9"/>
    <n v="4"/>
    <s v="Life Sciences"/>
    <n v="1117"/>
    <n v="2"/>
    <s v="Female"/>
    <n v="65"/>
    <n v="2"/>
    <n v="2"/>
    <x v="0"/>
    <n v="3"/>
    <s v="Married"/>
    <n v="5593"/>
    <n v="17970"/>
    <n v="1"/>
    <x v="1"/>
    <n v="13"/>
    <n v="3"/>
    <n v="4"/>
    <n v="1"/>
    <n v="15"/>
    <n v="2"/>
    <n v="3"/>
    <n v="15"/>
    <n v="10"/>
    <n v="4"/>
    <n v="12"/>
    <s v="40-49"/>
  </r>
  <r>
    <n v="52"/>
    <x v="1"/>
    <s v="Travel_Rarely"/>
    <n v="994"/>
    <x v="1"/>
    <n v="7"/>
    <n v="4"/>
    <s v="Life Sciences"/>
    <n v="1118"/>
    <n v="2"/>
    <s v="Male"/>
    <n v="87"/>
    <n v="3"/>
    <n v="3"/>
    <x v="4"/>
    <n v="2"/>
    <s v="Single"/>
    <n v="10445"/>
    <n v="15322"/>
    <n v="7"/>
    <x v="1"/>
    <n v="19"/>
    <n v="3"/>
    <n v="4"/>
    <n v="0"/>
    <n v="18"/>
    <n v="4"/>
    <n v="3"/>
    <n v="8"/>
    <n v="6"/>
    <n v="4"/>
    <n v="0"/>
    <s v="50+"/>
  </r>
  <r>
    <n v="38"/>
    <x v="1"/>
    <s v="Travel_Rarely"/>
    <n v="770"/>
    <x v="0"/>
    <n v="10"/>
    <n v="4"/>
    <s v="Marketing"/>
    <n v="1119"/>
    <n v="3"/>
    <s v="Male"/>
    <n v="73"/>
    <n v="2"/>
    <n v="3"/>
    <x v="0"/>
    <n v="3"/>
    <s v="Divorced"/>
    <n v="8740"/>
    <n v="5569"/>
    <n v="0"/>
    <x v="0"/>
    <n v="14"/>
    <n v="3"/>
    <n v="2"/>
    <n v="2"/>
    <n v="9"/>
    <n v="2"/>
    <n v="3"/>
    <n v="8"/>
    <n v="7"/>
    <n v="2"/>
    <n v="7"/>
    <s v="30-39"/>
  </r>
  <r>
    <n v="29"/>
    <x v="1"/>
    <s v="Travel_Rarely"/>
    <n v="1107"/>
    <x v="1"/>
    <n v="28"/>
    <n v="4"/>
    <s v="Life Sciences"/>
    <n v="1120"/>
    <n v="3"/>
    <s v="Female"/>
    <n v="93"/>
    <n v="3"/>
    <n v="1"/>
    <x v="1"/>
    <n v="4"/>
    <s v="Divorced"/>
    <n v="2514"/>
    <n v="26968"/>
    <n v="4"/>
    <x v="1"/>
    <n v="22"/>
    <n v="4"/>
    <n v="1"/>
    <n v="1"/>
    <n v="11"/>
    <n v="1"/>
    <n v="3"/>
    <n v="7"/>
    <n v="5"/>
    <n v="1"/>
    <n v="7"/>
    <s v="Below 30"/>
  </r>
  <r>
    <n v="28"/>
    <x v="1"/>
    <s v="Travel_Rarely"/>
    <n v="950"/>
    <x v="1"/>
    <n v="3"/>
    <n v="3"/>
    <s v="Medical"/>
    <n v="1121"/>
    <n v="4"/>
    <s v="Female"/>
    <n v="93"/>
    <n v="3"/>
    <n v="3"/>
    <x v="3"/>
    <n v="2"/>
    <s v="Divorced"/>
    <n v="7655"/>
    <n v="8039"/>
    <n v="0"/>
    <x v="1"/>
    <n v="17"/>
    <n v="3"/>
    <n v="2"/>
    <n v="3"/>
    <n v="10"/>
    <n v="3"/>
    <n v="2"/>
    <n v="9"/>
    <n v="7"/>
    <n v="1"/>
    <n v="7"/>
    <s v="Below 30"/>
  </r>
  <r>
    <n v="46"/>
    <x v="1"/>
    <s v="Travel_Rarely"/>
    <n v="406"/>
    <x v="0"/>
    <n v="3"/>
    <n v="1"/>
    <s v="Marketing"/>
    <n v="1124"/>
    <n v="1"/>
    <s v="Male"/>
    <n v="52"/>
    <n v="3"/>
    <n v="4"/>
    <x v="5"/>
    <n v="3"/>
    <s v="Married"/>
    <n v="17465"/>
    <n v="15596"/>
    <n v="3"/>
    <x v="1"/>
    <n v="12"/>
    <n v="3"/>
    <n v="4"/>
    <n v="1"/>
    <n v="23"/>
    <n v="3"/>
    <n v="3"/>
    <n v="12"/>
    <n v="9"/>
    <n v="4"/>
    <n v="9"/>
    <s v="40-49"/>
  </r>
  <r>
    <n v="38"/>
    <x v="1"/>
    <s v="Travel_Rarely"/>
    <n v="130"/>
    <x v="0"/>
    <n v="2"/>
    <n v="2"/>
    <s v="Marketing"/>
    <n v="1125"/>
    <n v="4"/>
    <s v="Male"/>
    <n v="32"/>
    <n v="3"/>
    <n v="3"/>
    <x v="0"/>
    <n v="2"/>
    <s v="Single"/>
    <n v="7351"/>
    <n v="20619"/>
    <n v="7"/>
    <x v="1"/>
    <n v="16"/>
    <n v="3"/>
    <n v="3"/>
    <n v="0"/>
    <n v="10"/>
    <n v="2"/>
    <n v="3"/>
    <n v="1"/>
    <n v="0"/>
    <n v="0"/>
    <n v="0"/>
    <s v="30-39"/>
  </r>
  <r>
    <n v="43"/>
    <x v="1"/>
    <s v="Travel_Frequently"/>
    <n v="1082"/>
    <x v="1"/>
    <n v="27"/>
    <n v="3"/>
    <s v="Life Sciences"/>
    <n v="1126"/>
    <n v="3"/>
    <s v="Female"/>
    <n v="83"/>
    <n v="3"/>
    <n v="3"/>
    <x v="3"/>
    <n v="1"/>
    <s v="Married"/>
    <n v="10820"/>
    <n v="11535"/>
    <n v="8"/>
    <x v="1"/>
    <n v="11"/>
    <n v="3"/>
    <n v="3"/>
    <n v="1"/>
    <n v="18"/>
    <n v="1"/>
    <n v="3"/>
    <n v="8"/>
    <n v="7"/>
    <n v="0"/>
    <n v="1"/>
    <s v="40-49"/>
  </r>
  <r>
    <n v="39"/>
    <x v="0"/>
    <s v="Travel_Frequently"/>
    <n v="203"/>
    <x v="1"/>
    <n v="2"/>
    <n v="3"/>
    <s v="Life Sciences"/>
    <n v="1127"/>
    <n v="1"/>
    <s v="Male"/>
    <n v="84"/>
    <n v="3"/>
    <n v="4"/>
    <x v="4"/>
    <n v="4"/>
    <s v="Divorced"/>
    <n v="12169"/>
    <n v="13547"/>
    <n v="7"/>
    <x v="1"/>
    <n v="11"/>
    <n v="3"/>
    <n v="4"/>
    <n v="3"/>
    <n v="21"/>
    <n v="4"/>
    <n v="3"/>
    <n v="18"/>
    <n v="7"/>
    <n v="11"/>
    <n v="5"/>
    <s v="30-39"/>
  </r>
  <r>
    <n v="40"/>
    <x v="1"/>
    <s v="Travel_Rarely"/>
    <n v="1308"/>
    <x v="1"/>
    <n v="14"/>
    <n v="3"/>
    <s v="Medical"/>
    <n v="1128"/>
    <n v="3"/>
    <s v="Male"/>
    <n v="44"/>
    <n v="2"/>
    <n v="5"/>
    <x v="7"/>
    <n v="3"/>
    <s v="Single"/>
    <n v="19626"/>
    <n v="17544"/>
    <n v="1"/>
    <x v="1"/>
    <n v="14"/>
    <n v="3"/>
    <n v="1"/>
    <n v="0"/>
    <n v="21"/>
    <n v="2"/>
    <n v="4"/>
    <n v="20"/>
    <n v="7"/>
    <n v="4"/>
    <n v="9"/>
    <s v="40-49"/>
  </r>
  <r>
    <n v="21"/>
    <x v="1"/>
    <s v="Travel_Rarely"/>
    <n v="984"/>
    <x v="1"/>
    <n v="1"/>
    <n v="1"/>
    <s v="Technical Degree"/>
    <n v="1131"/>
    <n v="4"/>
    <s v="Female"/>
    <n v="70"/>
    <n v="2"/>
    <n v="1"/>
    <x v="1"/>
    <n v="2"/>
    <s v="Single"/>
    <n v="2070"/>
    <n v="25326"/>
    <n v="1"/>
    <x v="0"/>
    <n v="11"/>
    <n v="3"/>
    <n v="3"/>
    <n v="0"/>
    <n v="2"/>
    <n v="6"/>
    <n v="4"/>
    <n v="2"/>
    <n v="2"/>
    <n v="2"/>
    <n v="2"/>
    <s v="Below 30"/>
  </r>
  <r>
    <n v="39"/>
    <x v="1"/>
    <s v="Non-Travel"/>
    <n v="439"/>
    <x v="1"/>
    <n v="9"/>
    <n v="3"/>
    <s v="Life Sciences"/>
    <n v="1132"/>
    <n v="3"/>
    <s v="Male"/>
    <n v="70"/>
    <n v="3"/>
    <n v="2"/>
    <x v="2"/>
    <n v="2"/>
    <s v="Single"/>
    <n v="6782"/>
    <n v="8770"/>
    <n v="9"/>
    <x v="1"/>
    <n v="15"/>
    <n v="3"/>
    <n v="3"/>
    <n v="0"/>
    <n v="9"/>
    <n v="2"/>
    <n v="2"/>
    <n v="5"/>
    <n v="4"/>
    <n v="0"/>
    <n v="3"/>
    <s v="30-39"/>
  </r>
  <r>
    <n v="36"/>
    <x v="1"/>
    <s v="Non-Travel"/>
    <n v="217"/>
    <x v="1"/>
    <n v="18"/>
    <n v="4"/>
    <s v="Life Sciences"/>
    <n v="1133"/>
    <n v="1"/>
    <s v="Male"/>
    <n v="78"/>
    <n v="3"/>
    <n v="2"/>
    <x v="3"/>
    <n v="4"/>
    <s v="Single"/>
    <n v="7779"/>
    <n v="23238"/>
    <n v="2"/>
    <x v="1"/>
    <n v="20"/>
    <n v="4"/>
    <n v="1"/>
    <n v="0"/>
    <n v="18"/>
    <n v="0"/>
    <n v="3"/>
    <n v="11"/>
    <n v="9"/>
    <n v="0"/>
    <n v="9"/>
    <s v="30-39"/>
  </r>
  <r>
    <n v="31"/>
    <x v="1"/>
    <s v="Travel_Frequently"/>
    <n v="793"/>
    <x v="0"/>
    <n v="20"/>
    <n v="3"/>
    <s v="Life Sciences"/>
    <n v="1135"/>
    <n v="3"/>
    <s v="Male"/>
    <n v="67"/>
    <n v="4"/>
    <n v="1"/>
    <x v="6"/>
    <n v="4"/>
    <s v="Married"/>
    <n v="2791"/>
    <n v="21981"/>
    <n v="0"/>
    <x v="1"/>
    <n v="12"/>
    <n v="3"/>
    <n v="1"/>
    <n v="1"/>
    <n v="3"/>
    <n v="4"/>
    <n v="3"/>
    <n v="2"/>
    <n v="2"/>
    <n v="2"/>
    <n v="2"/>
    <s v="30-39"/>
  </r>
  <r>
    <n v="28"/>
    <x v="1"/>
    <s v="Travel_Rarely"/>
    <n v="1451"/>
    <x v="1"/>
    <n v="2"/>
    <n v="1"/>
    <s v="Life Sciences"/>
    <n v="1136"/>
    <n v="1"/>
    <s v="Male"/>
    <n v="67"/>
    <n v="2"/>
    <n v="1"/>
    <x v="1"/>
    <n v="2"/>
    <s v="Married"/>
    <n v="3201"/>
    <n v="19911"/>
    <n v="0"/>
    <x v="1"/>
    <n v="17"/>
    <n v="3"/>
    <n v="1"/>
    <n v="0"/>
    <n v="6"/>
    <n v="2"/>
    <n v="1"/>
    <n v="5"/>
    <n v="3"/>
    <n v="0"/>
    <n v="4"/>
    <s v="Below 30"/>
  </r>
  <r>
    <n v="35"/>
    <x v="1"/>
    <s v="Travel_Frequently"/>
    <n v="1182"/>
    <x v="0"/>
    <n v="11"/>
    <n v="2"/>
    <s v="Marketing"/>
    <n v="1137"/>
    <n v="4"/>
    <s v="Male"/>
    <n v="54"/>
    <n v="3"/>
    <n v="2"/>
    <x v="0"/>
    <n v="4"/>
    <s v="Divorced"/>
    <n v="4968"/>
    <n v="18500"/>
    <n v="1"/>
    <x v="1"/>
    <n v="11"/>
    <n v="3"/>
    <n v="4"/>
    <n v="1"/>
    <n v="5"/>
    <n v="3"/>
    <n v="3"/>
    <n v="5"/>
    <n v="2"/>
    <n v="0"/>
    <n v="2"/>
    <s v="30-39"/>
  </r>
  <r>
    <n v="49"/>
    <x v="1"/>
    <s v="Travel_Rarely"/>
    <n v="174"/>
    <x v="0"/>
    <n v="8"/>
    <n v="4"/>
    <s v="Technical Degree"/>
    <n v="1138"/>
    <n v="4"/>
    <s v="Male"/>
    <n v="56"/>
    <n v="2"/>
    <n v="4"/>
    <x v="0"/>
    <n v="2"/>
    <s v="Married"/>
    <n v="13120"/>
    <n v="11879"/>
    <n v="6"/>
    <x v="1"/>
    <n v="17"/>
    <n v="3"/>
    <n v="2"/>
    <n v="1"/>
    <n v="22"/>
    <n v="3"/>
    <n v="3"/>
    <n v="9"/>
    <n v="8"/>
    <n v="2"/>
    <n v="3"/>
    <s v="40-49"/>
  </r>
  <r>
    <n v="34"/>
    <x v="1"/>
    <s v="Travel_Frequently"/>
    <n v="1003"/>
    <x v="1"/>
    <n v="2"/>
    <n v="2"/>
    <s v="Life Sciences"/>
    <n v="1140"/>
    <n v="4"/>
    <s v="Male"/>
    <n v="95"/>
    <n v="3"/>
    <n v="2"/>
    <x v="3"/>
    <n v="3"/>
    <s v="Single"/>
    <n v="4033"/>
    <n v="15834"/>
    <n v="2"/>
    <x v="1"/>
    <n v="11"/>
    <n v="3"/>
    <n v="4"/>
    <n v="0"/>
    <n v="5"/>
    <n v="3"/>
    <n v="2"/>
    <n v="3"/>
    <n v="2"/>
    <n v="0"/>
    <n v="2"/>
    <s v="30-39"/>
  </r>
  <r>
    <n v="29"/>
    <x v="1"/>
    <s v="Travel_Frequently"/>
    <n v="490"/>
    <x v="1"/>
    <n v="10"/>
    <n v="3"/>
    <s v="Life Sciences"/>
    <n v="1143"/>
    <n v="4"/>
    <s v="Female"/>
    <n v="61"/>
    <n v="3"/>
    <n v="1"/>
    <x v="1"/>
    <n v="2"/>
    <s v="Divorced"/>
    <n v="3291"/>
    <n v="17940"/>
    <n v="0"/>
    <x v="1"/>
    <n v="14"/>
    <n v="3"/>
    <n v="4"/>
    <n v="2"/>
    <n v="8"/>
    <n v="2"/>
    <n v="2"/>
    <n v="7"/>
    <n v="5"/>
    <n v="1"/>
    <n v="1"/>
    <s v="Below 30"/>
  </r>
  <r>
    <n v="42"/>
    <x v="1"/>
    <s v="Travel_Rarely"/>
    <n v="188"/>
    <x v="1"/>
    <n v="29"/>
    <n v="3"/>
    <s v="Medical"/>
    <n v="1148"/>
    <n v="2"/>
    <s v="Male"/>
    <n v="56"/>
    <n v="1"/>
    <n v="2"/>
    <x v="2"/>
    <n v="4"/>
    <s v="Single"/>
    <n v="4272"/>
    <n v="9558"/>
    <n v="4"/>
    <x v="1"/>
    <n v="19"/>
    <n v="3"/>
    <n v="1"/>
    <n v="0"/>
    <n v="16"/>
    <n v="3"/>
    <n v="3"/>
    <n v="1"/>
    <n v="0"/>
    <n v="0"/>
    <n v="0"/>
    <s v="40-49"/>
  </r>
  <r>
    <n v="29"/>
    <x v="1"/>
    <s v="Travel_Rarely"/>
    <n v="718"/>
    <x v="1"/>
    <n v="8"/>
    <n v="1"/>
    <s v="Medical"/>
    <n v="1150"/>
    <n v="2"/>
    <s v="Male"/>
    <n v="79"/>
    <n v="2"/>
    <n v="2"/>
    <x v="3"/>
    <n v="4"/>
    <s v="Married"/>
    <n v="5056"/>
    <n v="17689"/>
    <n v="1"/>
    <x v="0"/>
    <n v="15"/>
    <n v="3"/>
    <n v="3"/>
    <n v="1"/>
    <n v="10"/>
    <n v="2"/>
    <n v="2"/>
    <n v="10"/>
    <n v="7"/>
    <n v="1"/>
    <n v="2"/>
    <s v="Below 30"/>
  </r>
  <r>
    <n v="38"/>
    <x v="1"/>
    <s v="Travel_Rarely"/>
    <n v="433"/>
    <x v="2"/>
    <n v="1"/>
    <n v="3"/>
    <s v="Human Resources"/>
    <n v="1152"/>
    <n v="3"/>
    <s v="Male"/>
    <n v="37"/>
    <n v="4"/>
    <n v="1"/>
    <x v="8"/>
    <n v="3"/>
    <s v="Married"/>
    <n v="2844"/>
    <n v="6004"/>
    <n v="1"/>
    <x v="1"/>
    <n v="13"/>
    <n v="3"/>
    <n v="4"/>
    <n v="1"/>
    <n v="7"/>
    <n v="2"/>
    <n v="4"/>
    <n v="7"/>
    <n v="6"/>
    <n v="5"/>
    <n v="0"/>
    <s v="30-39"/>
  </r>
  <r>
    <n v="28"/>
    <x v="1"/>
    <s v="Travel_Frequently"/>
    <n v="773"/>
    <x v="1"/>
    <n v="6"/>
    <n v="3"/>
    <s v="Life Sciences"/>
    <n v="1154"/>
    <n v="3"/>
    <s v="Male"/>
    <n v="39"/>
    <n v="2"/>
    <n v="1"/>
    <x v="1"/>
    <n v="3"/>
    <s v="Divorced"/>
    <n v="2703"/>
    <n v="22088"/>
    <n v="1"/>
    <x v="0"/>
    <n v="14"/>
    <n v="3"/>
    <n v="4"/>
    <n v="1"/>
    <n v="3"/>
    <n v="2"/>
    <n v="3"/>
    <n v="3"/>
    <n v="1"/>
    <n v="0"/>
    <n v="2"/>
    <s v="Below 30"/>
  </r>
  <r>
    <n v="18"/>
    <x v="0"/>
    <s v="Non-Travel"/>
    <n v="247"/>
    <x v="1"/>
    <n v="8"/>
    <n v="1"/>
    <s v="Medical"/>
    <n v="1156"/>
    <n v="3"/>
    <s v="Male"/>
    <n v="80"/>
    <n v="3"/>
    <n v="1"/>
    <x v="2"/>
    <n v="3"/>
    <s v="Single"/>
    <n v="1904"/>
    <n v="13556"/>
    <n v="1"/>
    <x v="1"/>
    <n v="12"/>
    <n v="3"/>
    <n v="4"/>
    <n v="0"/>
    <n v="0"/>
    <n v="0"/>
    <n v="3"/>
    <n v="0"/>
    <n v="0"/>
    <n v="0"/>
    <n v="0"/>
    <s v="Below 30"/>
  </r>
  <r>
    <n v="33"/>
    <x v="0"/>
    <s v="Travel_Rarely"/>
    <n v="603"/>
    <x v="0"/>
    <n v="9"/>
    <n v="4"/>
    <s v="Marketing"/>
    <n v="1157"/>
    <n v="1"/>
    <s v="Female"/>
    <n v="77"/>
    <n v="3"/>
    <n v="2"/>
    <x v="0"/>
    <n v="1"/>
    <s v="Single"/>
    <n v="8224"/>
    <n v="18385"/>
    <n v="0"/>
    <x v="0"/>
    <n v="17"/>
    <n v="3"/>
    <n v="1"/>
    <n v="0"/>
    <n v="6"/>
    <n v="3"/>
    <n v="3"/>
    <n v="5"/>
    <n v="2"/>
    <n v="0"/>
    <n v="3"/>
    <s v="30-39"/>
  </r>
  <r>
    <n v="41"/>
    <x v="1"/>
    <s v="Travel_Rarely"/>
    <n v="167"/>
    <x v="1"/>
    <n v="12"/>
    <n v="4"/>
    <s v="Life Sciences"/>
    <n v="1158"/>
    <n v="2"/>
    <s v="Male"/>
    <n v="46"/>
    <n v="3"/>
    <n v="1"/>
    <x v="2"/>
    <n v="4"/>
    <s v="Married"/>
    <n v="4766"/>
    <n v="9051"/>
    <n v="3"/>
    <x v="0"/>
    <n v="11"/>
    <n v="3"/>
    <n v="1"/>
    <n v="1"/>
    <n v="6"/>
    <n v="4"/>
    <n v="3"/>
    <n v="1"/>
    <n v="0"/>
    <n v="0"/>
    <n v="0"/>
    <s v="40-49"/>
  </r>
  <r>
    <n v="31"/>
    <x v="0"/>
    <s v="Travel_Frequently"/>
    <n v="874"/>
    <x v="1"/>
    <n v="15"/>
    <n v="3"/>
    <s v="Medical"/>
    <n v="1160"/>
    <n v="3"/>
    <s v="Male"/>
    <n v="72"/>
    <n v="3"/>
    <n v="1"/>
    <x v="2"/>
    <n v="3"/>
    <s v="Married"/>
    <n v="2610"/>
    <n v="6233"/>
    <n v="1"/>
    <x v="1"/>
    <n v="12"/>
    <n v="3"/>
    <n v="3"/>
    <n v="1"/>
    <n v="2"/>
    <n v="5"/>
    <n v="2"/>
    <n v="2"/>
    <n v="2"/>
    <n v="2"/>
    <n v="2"/>
    <s v="30-39"/>
  </r>
  <r>
    <n v="37"/>
    <x v="1"/>
    <s v="Travel_Rarely"/>
    <n v="367"/>
    <x v="1"/>
    <n v="25"/>
    <n v="2"/>
    <s v="Medical"/>
    <n v="1161"/>
    <n v="3"/>
    <s v="Female"/>
    <n v="52"/>
    <n v="2"/>
    <n v="2"/>
    <x v="4"/>
    <n v="4"/>
    <s v="Divorced"/>
    <n v="5731"/>
    <n v="17171"/>
    <n v="7"/>
    <x v="1"/>
    <n v="13"/>
    <n v="3"/>
    <n v="3"/>
    <n v="2"/>
    <n v="9"/>
    <n v="2"/>
    <n v="3"/>
    <n v="6"/>
    <n v="2"/>
    <n v="1"/>
    <n v="3"/>
    <s v="30-39"/>
  </r>
  <r>
    <n v="27"/>
    <x v="1"/>
    <s v="Travel_Rarely"/>
    <n v="199"/>
    <x v="1"/>
    <n v="6"/>
    <n v="3"/>
    <s v="Life Sciences"/>
    <n v="1162"/>
    <n v="4"/>
    <s v="Male"/>
    <n v="55"/>
    <n v="2"/>
    <n v="1"/>
    <x v="1"/>
    <n v="3"/>
    <s v="Married"/>
    <n v="2539"/>
    <n v="7950"/>
    <n v="1"/>
    <x v="1"/>
    <n v="13"/>
    <n v="3"/>
    <n v="3"/>
    <n v="1"/>
    <n v="4"/>
    <n v="0"/>
    <n v="3"/>
    <n v="4"/>
    <n v="2"/>
    <n v="2"/>
    <n v="2"/>
    <s v="Below 30"/>
  </r>
  <r>
    <n v="34"/>
    <x v="1"/>
    <s v="Travel_Rarely"/>
    <n v="1400"/>
    <x v="0"/>
    <n v="9"/>
    <n v="1"/>
    <s v="Life Sciences"/>
    <n v="1163"/>
    <n v="2"/>
    <s v="Female"/>
    <n v="70"/>
    <n v="3"/>
    <n v="2"/>
    <x v="0"/>
    <n v="3"/>
    <s v="Married"/>
    <n v="5714"/>
    <n v="5829"/>
    <n v="1"/>
    <x v="1"/>
    <n v="20"/>
    <n v="4"/>
    <n v="1"/>
    <n v="0"/>
    <n v="6"/>
    <n v="3"/>
    <n v="2"/>
    <n v="6"/>
    <n v="5"/>
    <n v="1"/>
    <n v="3"/>
    <s v="30-39"/>
  </r>
  <r>
    <n v="35"/>
    <x v="1"/>
    <s v="Travel_Rarely"/>
    <n v="528"/>
    <x v="2"/>
    <n v="8"/>
    <n v="4"/>
    <s v="Technical Degree"/>
    <n v="1164"/>
    <n v="3"/>
    <s v="Male"/>
    <n v="100"/>
    <n v="3"/>
    <n v="1"/>
    <x v="8"/>
    <n v="3"/>
    <s v="Single"/>
    <n v="4323"/>
    <n v="7108"/>
    <n v="1"/>
    <x v="1"/>
    <n v="17"/>
    <n v="3"/>
    <n v="2"/>
    <n v="0"/>
    <n v="6"/>
    <n v="2"/>
    <n v="1"/>
    <n v="5"/>
    <n v="4"/>
    <n v="1"/>
    <n v="4"/>
    <s v="30-39"/>
  </r>
  <r>
    <n v="29"/>
    <x v="0"/>
    <s v="Travel_Rarely"/>
    <n v="408"/>
    <x v="0"/>
    <n v="23"/>
    <n v="1"/>
    <s v="Life Sciences"/>
    <n v="1165"/>
    <n v="4"/>
    <s v="Female"/>
    <n v="45"/>
    <n v="2"/>
    <n v="3"/>
    <x v="0"/>
    <n v="1"/>
    <s v="Married"/>
    <n v="7336"/>
    <n v="11162"/>
    <n v="1"/>
    <x v="1"/>
    <n v="13"/>
    <n v="3"/>
    <n v="1"/>
    <n v="1"/>
    <n v="11"/>
    <n v="3"/>
    <n v="1"/>
    <n v="11"/>
    <n v="8"/>
    <n v="3"/>
    <n v="10"/>
    <s v="Below 30"/>
  </r>
  <r>
    <n v="40"/>
    <x v="1"/>
    <s v="Travel_Frequently"/>
    <n v="593"/>
    <x v="1"/>
    <n v="9"/>
    <n v="4"/>
    <s v="Medical"/>
    <n v="1166"/>
    <n v="2"/>
    <s v="Female"/>
    <n v="88"/>
    <n v="3"/>
    <n v="3"/>
    <x v="7"/>
    <n v="3"/>
    <s v="Single"/>
    <n v="13499"/>
    <n v="13782"/>
    <n v="9"/>
    <x v="1"/>
    <n v="17"/>
    <n v="3"/>
    <n v="3"/>
    <n v="0"/>
    <n v="20"/>
    <n v="3"/>
    <n v="2"/>
    <n v="18"/>
    <n v="7"/>
    <n v="2"/>
    <n v="13"/>
    <s v="40-49"/>
  </r>
  <r>
    <n v="42"/>
    <x v="0"/>
    <s v="Travel_Frequently"/>
    <n v="481"/>
    <x v="0"/>
    <n v="12"/>
    <n v="3"/>
    <s v="Life Sciences"/>
    <n v="1167"/>
    <n v="3"/>
    <s v="Male"/>
    <n v="44"/>
    <n v="3"/>
    <n v="4"/>
    <x v="0"/>
    <n v="1"/>
    <s v="Single"/>
    <n v="13758"/>
    <n v="2447"/>
    <n v="0"/>
    <x v="0"/>
    <n v="12"/>
    <n v="3"/>
    <n v="2"/>
    <n v="0"/>
    <n v="22"/>
    <n v="2"/>
    <n v="2"/>
    <n v="21"/>
    <n v="9"/>
    <n v="13"/>
    <n v="14"/>
    <s v="40-49"/>
  </r>
  <r>
    <n v="42"/>
    <x v="1"/>
    <s v="Travel_Rarely"/>
    <n v="647"/>
    <x v="0"/>
    <n v="4"/>
    <n v="4"/>
    <s v="Marketing"/>
    <n v="1171"/>
    <n v="2"/>
    <s v="Male"/>
    <n v="45"/>
    <n v="3"/>
    <n v="2"/>
    <x v="0"/>
    <n v="1"/>
    <s v="Single"/>
    <n v="5155"/>
    <n v="2253"/>
    <n v="7"/>
    <x v="1"/>
    <n v="13"/>
    <n v="3"/>
    <n v="4"/>
    <n v="0"/>
    <n v="9"/>
    <n v="3"/>
    <n v="4"/>
    <n v="6"/>
    <n v="4"/>
    <n v="1"/>
    <n v="5"/>
    <s v="40-49"/>
  </r>
  <r>
    <n v="35"/>
    <x v="1"/>
    <s v="Travel_Rarely"/>
    <n v="982"/>
    <x v="1"/>
    <n v="1"/>
    <n v="4"/>
    <s v="Medical"/>
    <n v="1172"/>
    <n v="4"/>
    <s v="Male"/>
    <n v="58"/>
    <n v="2"/>
    <n v="1"/>
    <x v="2"/>
    <n v="3"/>
    <s v="Married"/>
    <n v="2258"/>
    <n v="16340"/>
    <n v="6"/>
    <x v="1"/>
    <n v="12"/>
    <n v="3"/>
    <n v="2"/>
    <n v="1"/>
    <n v="10"/>
    <n v="2"/>
    <n v="3"/>
    <n v="8"/>
    <n v="0"/>
    <n v="1"/>
    <n v="7"/>
    <s v="30-39"/>
  </r>
  <r>
    <n v="24"/>
    <x v="1"/>
    <s v="Travel_Rarely"/>
    <n v="477"/>
    <x v="1"/>
    <n v="24"/>
    <n v="3"/>
    <s v="Medical"/>
    <n v="1173"/>
    <n v="4"/>
    <s v="Male"/>
    <n v="49"/>
    <n v="3"/>
    <n v="1"/>
    <x v="2"/>
    <n v="2"/>
    <s v="Single"/>
    <n v="3597"/>
    <n v="6409"/>
    <n v="8"/>
    <x v="1"/>
    <n v="22"/>
    <n v="4"/>
    <n v="4"/>
    <n v="0"/>
    <n v="6"/>
    <n v="2"/>
    <n v="3"/>
    <n v="4"/>
    <n v="3"/>
    <n v="1"/>
    <n v="2"/>
    <s v="Below 30"/>
  </r>
  <r>
    <n v="28"/>
    <x v="0"/>
    <s v="Travel_Rarely"/>
    <n v="1485"/>
    <x v="1"/>
    <n v="12"/>
    <n v="1"/>
    <s v="Life Sciences"/>
    <n v="1175"/>
    <n v="3"/>
    <s v="Female"/>
    <n v="79"/>
    <n v="3"/>
    <n v="1"/>
    <x v="2"/>
    <n v="4"/>
    <s v="Married"/>
    <n v="2515"/>
    <n v="22955"/>
    <n v="1"/>
    <x v="0"/>
    <n v="11"/>
    <n v="3"/>
    <n v="4"/>
    <n v="0"/>
    <n v="1"/>
    <n v="4"/>
    <n v="2"/>
    <n v="1"/>
    <n v="1"/>
    <n v="0"/>
    <n v="0"/>
    <s v="Below 30"/>
  </r>
  <r>
    <n v="26"/>
    <x v="1"/>
    <s v="Travel_Rarely"/>
    <n v="1384"/>
    <x v="1"/>
    <n v="3"/>
    <n v="4"/>
    <s v="Medical"/>
    <n v="1177"/>
    <n v="1"/>
    <s v="Male"/>
    <n v="82"/>
    <n v="4"/>
    <n v="1"/>
    <x v="2"/>
    <n v="4"/>
    <s v="Married"/>
    <n v="4420"/>
    <n v="13421"/>
    <n v="1"/>
    <x v="1"/>
    <n v="22"/>
    <n v="4"/>
    <n v="2"/>
    <n v="1"/>
    <n v="8"/>
    <n v="2"/>
    <n v="3"/>
    <n v="8"/>
    <n v="7"/>
    <n v="0"/>
    <n v="7"/>
    <s v="Below 30"/>
  </r>
  <r>
    <n v="30"/>
    <x v="1"/>
    <s v="Travel_Rarely"/>
    <n v="852"/>
    <x v="0"/>
    <n v="10"/>
    <n v="3"/>
    <s v="Marketing"/>
    <n v="1179"/>
    <n v="3"/>
    <s v="Male"/>
    <n v="72"/>
    <n v="2"/>
    <n v="2"/>
    <x v="0"/>
    <n v="3"/>
    <s v="Married"/>
    <n v="6578"/>
    <n v="2706"/>
    <n v="1"/>
    <x v="1"/>
    <n v="18"/>
    <n v="3"/>
    <n v="1"/>
    <n v="1"/>
    <n v="10"/>
    <n v="3"/>
    <n v="3"/>
    <n v="10"/>
    <n v="3"/>
    <n v="1"/>
    <n v="4"/>
    <s v="30-39"/>
  </r>
  <r>
    <n v="40"/>
    <x v="1"/>
    <s v="Travel_Frequently"/>
    <n v="902"/>
    <x v="1"/>
    <n v="26"/>
    <n v="2"/>
    <s v="Medical"/>
    <n v="1180"/>
    <n v="3"/>
    <s v="Female"/>
    <n v="92"/>
    <n v="2"/>
    <n v="2"/>
    <x v="1"/>
    <n v="4"/>
    <s v="Married"/>
    <n v="4422"/>
    <n v="21203"/>
    <n v="3"/>
    <x v="0"/>
    <n v="13"/>
    <n v="3"/>
    <n v="4"/>
    <n v="1"/>
    <n v="16"/>
    <n v="3"/>
    <n v="1"/>
    <n v="1"/>
    <n v="1"/>
    <n v="0"/>
    <n v="0"/>
    <s v="40-49"/>
  </r>
  <r>
    <n v="35"/>
    <x v="1"/>
    <s v="Travel_Rarely"/>
    <n v="819"/>
    <x v="1"/>
    <n v="2"/>
    <n v="3"/>
    <s v="Life Sciences"/>
    <n v="1182"/>
    <n v="3"/>
    <s v="Male"/>
    <n v="44"/>
    <n v="2"/>
    <n v="3"/>
    <x v="3"/>
    <n v="2"/>
    <s v="Divorced"/>
    <n v="10274"/>
    <n v="19588"/>
    <n v="2"/>
    <x v="1"/>
    <n v="18"/>
    <n v="3"/>
    <n v="2"/>
    <n v="1"/>
    <n v="15"/>
    <n v="2"/>
    <n v="4"/>
    <n v="7"/>
    <n v="7"/>
    <n v="6"/>
    <n v="4"/>
    <s v="30-39"/>
  </r>
  <r>
    <n v="34"/>
    <x v="1"/>
    <s v="Travel_Frequently"/>
    <n v="669"/>
    <x v="1"/>
    <n v="1"/>
    <n v="3"/>
    <s v="Medical"/>
    <n v="1184"/>
    <n v="4"/>
    <s v="Male"/>
    <n v="97"/>
    <n v="2"/>
    <n v="2"/>
    <x v="4"/>
    <n v="1"/>
    <s v="Single"/>
    <n v="5343"/>
    <n v="25755"/>
    <n v="0"/>
    <x v="1"/>
    <n v="20"/>
    <n v="4"/>
    <n v="3"/>
    <n v="0"/>
    <n v="14"/>
    <n v="3"/>
    <n v="3"/>
    <n v="13"/>
    <n v="9"/>
    <n v="4"/>
    <n v="9"/>
    <s v="30-39"/>
  </r>
  <r>
    <n v="35"/>
    <x v="1"/>
    <s v="Travel_Frequently"/>
    <n v="636"/>
    <x v="1"/>
    <n v="4"/>
    <n v="4"/>
    <s v="Other"/>
    <n v="1185"/>
    <n v="4"/>
    <s v="Male"/>
    <n v="47"/>
    <n v="2"/>
    <n v="1"/>
    <x v="2"/>
    <n v="4"/>
    <s v="Married"/>
    <n v="2376"/>
    <n v="26537"/>
    <n v="1"/>
    <x v="1"/>
    <n v="13"/>
    <n v="3"/>
    <n v="2"/>
    <n v="1"/>
    <n v="2"/>
    <n v="2"/>
    <n v="4"/>
    <n v="2"/>
    <n v="2"/>
    <n v="2"/>
    <n v="2"/>
    <s v="30-39"/>
  </r>
  <r>
    <n v="43"/>
    <x v="0"/>
    <s v="Travel_Rarely"/>
    <n v="1372"/>
    <x v="0"/>
    <n v="9"/>
    <n v="3"/>
    <s v="Marketing"/>
    <n v="1188"/>
    <n v="1"/>
    <s v="Female"/>
    <n v="85"/>
    <n v="1"/>
    <n v="2"/>
    <x v="0"/>
    <n v="3"/>
    <s v="Single"/>
    <n v="5346"/>
    <n v="9489"/>
    <n v="8"/>
    <x v="1"/>
    <n v="13"/>
    <n v="3"/>
    <n v="2"/>
    <n v="0"/>
    <n v="7"/>
    <n v="2"/>
    <n v="2"/>
    <n v="4"/>
    <n v="3"/>
    <n v="1"/>
    <n v="3"/>
    <s v="40-49"/>
  </r>
  <r>
    <n v="32"/>
    <x v="1"/>
    <s v="Non-Travel"/>
    <n v="862"/>
    <x v="0"/>
    <n v="2"/>
    <n v="1"/>
    <s v="Life Sciences"/>
    <n v="1190"/>
    <n v="3"/>
    <s v="Female"/>
    <n v="76"/>
    <n v="3"/>
    <n v="1"/>
    <x v="6"/>
    <n v="1"/>
    <s v="Divorced"/>
    <n v="2827"/>
    <n v="14947"/>
    <n v="1"/>
    <x v="1"/>
    <n v="12"/>
    <n v="3"/>
    <n v="3"/>
    <n v="3"/>
    <n v="1"/>
    <n v="3"/>
    <n v="3"/>
    <n v="1"/>
    <n v="0"/>
    <n v="0"/>
    <n v="0"/>
    <s v="30-39"/>
  </r>
  <r>
    <n v="56"/>
    <x v="1"/>
    <s v="Travel_Rarely"/>
    <n v="718"/>
    <x v="1"/>
    <n v="4"/>
    <n v="4"/>
    <s v="Technical Degree"/>
    <n v="1191"/>
    <n v="4"/>
    <s v="Female"/>
    <n v="92"/>
    <n v="3"/>
    <n v="5"/>
    <x v="5"/>
    <n v="1"/>
    <s v="Divorced"/>
    <n v="19943"/>
    <n v="18575"/>
    <n v="4"/>
    <x v="1"/>
    <n v="13"/>
    <n v="3"/>
    <n v="4"/>
    <n v="1"/>
    <n v="28"/>
    <n v="2"/>
    <n v="3"/>
    <n v="5"/>
    <n v="2"/>
    <n v="4"/>
    <n v="2"/>
    <s v="50+"/>
  </r>
  <r>
    <n v="29"/>
    <x v="1"/>
    <s v="Travel_Rarely"/>
    <n v="1401"/>
    <x v="1"/>
    <n v="6"/>
    <n v="1"/>
    <s v="Medical"/>
    <n v="1192"/>
    <n v="2"/>
    <s v="Female"/>
    <n v="54"/>
    <n v="3"/>
    <n v="1"/>
    <x v="2"/>
    <n v="4"/>
    <s v="Married"/>
    <n v="3131"/>
    <n v="26342"/>
    <n v="1"/>
    <x v="1"/>
    <n v="13"/>
    <n v="3"/>
    <n v="1"/>
    <n v="1"/>
    <n v="10"/>
    <n v="5"/>
    <n v="3"/>
    <n v="10"/>
    <n v="8"/>
    <n v="0"/>
    <n v="8"/>
    <s v="Below 30"/>
  </r>
  <r>
    <n v="19"/>
    <x v="1"/>
    <s v="Travel_Rarely"/>
    <n v="645"/>
    <x v="1"/>
    <n v="9"/>
    <n v="2"/>
    <s v="Life Sciences"/>
    <n v="1193"/>
    <n v="3"/>
    <s v="Male"/>
    <n v="54"/>
    <n v="3"/>
    <n v="1"/>
    <x v="1"/>
    <n v="1"/>
    <s v="Single"/>
    <n v="2552"/>
    <n v="7172"/>
    <n v="1"/>
    <x v="1"/>
    <n v="25"/>
    <n v="4"/>
    <n v="3"/>
    <n v="0"/>
    <n v="1"/>
    <n v="4"/>
    <n v="3"/>
    <n v="1"/>
    <n v="1"/>
    <n v="0"/>
    <n v="0"/>
    <s v="Below 30"/>
  </r>
  <r>
    <n v="45"/>
    <x v="1"/>
    <s v="Travel_Rarely"/>
    <n v="1457"/>
    <x v="1"/>
    <n v="7"/>
    <n v="3"/>
    <s v="Medical"/>
    <n v="1195"/>
    <n v="1"/>
    <s v="Female"/>
    <n v="83"/>
    <n v="3"/>
    <n v="1"/>
    <x v="1"/>
    <n v="3"/>
    <s v="Married"/>
    <n v="4477"/>
    <n v="20100"/>
    <n v="4"/>
    <x v="0"/>
    <n v="19"/>
    <n v="3"/>
    <n v="3"/>
    <n v="1"/>
    <n v="7"/>
    <n v="2"/>
    <n v="2"/>
    <n v="3"/>
    <n v="2"/>
    <n v="0"/>
    <n v="2"/>
    <s v="40-49"/>
  </r>
  <r>
    <n v="37"/>
    <x v="1"/>
    <s v="Travel_Rarely"/>
    <n v="977"/>
    <x v="1"/>
    <n v="1"/>
    <n v="3"/>
    <s v="Life Sciences"/>
    <n v="1196"/>
    <n v="4"/>
    <s v="Female"/>
    <n v="56"/>
    <n v="2"/>
    <n v="2"/>
    <x v="3"/>
    <n v="4"/>
    <s v="Married"/>
    <n v="6474"/>
    <n v="9961"/>
    <n v="1"/>
    <x v="1"/>
    <n v="13"/>
    <n v="3"/>
    <n v="2"/>
    <n v="1"/>
    <n v="14"/>
    <n v="2"/>
    <n v="2"/>
    <n v="14"/>
    <n v="8"/>
    <n v="3"/>
    <n v="11"/>
    <s v="30-39"/>
  </r>
  <r>
    <n v="20"/>
    <x v="1"/>
    <s v="Travel_Rarely"/>
    <n v="805"/>
    <x v="1"/>
    <n v="3"/>
    <n v="3"/>
    <s v="Life Sciences"/>
    <n v="1198"/>
    <n v="1"/>
    <s v="Male"/>
    <n v="87"/>
    <n v="2"/>
    <n v="1"/>
    <x v="2"/>
    <n v="3"/>
    <s v="Single"/>
    <n v="3033"/>
    <n v="12828"/>
    <n v="1"/>
    <x v="1"/>
    <n v="12"/>
    <n v="3"/>
    <n v="1"/>
    <n v="0"/>
    <n v="2"/>
    <n v="2"/>
    <n v="2"/>
    <n v="2"/>
    <n v="2"/>
    <n v="1"/>
    <n v="2"/>
    <s v="Below 30"/>
  </r>
  <r>
    <n v="44"/>
    <x v="0"/>
    <s v="Travel_Rarely"/>
    <n v="1097"/>
    <x v="1"/>
    <n v="10"/>
    <n v="4"/>
    <s v="Life Sciences"/>
    <n v="1200"/>
    <n v="3"/>
    <s v="Male"/>
    <n v="96"/>
    <n v="3"/>
    <n v="1"/>
    <x v="1"/>
    <n v="3"/>
    <s v="Single"/>
    <n v="2936"/>
    <n v="10826"/>
    <n v="1"/>
    <x v="0"/>
    <n v="11"/>
    <n v="3"/>
    <n v="3"/>
    <n v="0"/>
    <n v="6"/>
    <n v="4"/>
    <n v="3"/>
    <n v="6"/>
    <n v="4"/>
    <n v="0"/>
    <n v="2"/>
    <s v="40-49"/>
  </r>
  <r>
    <n v="53"/>
    <x v="1"/>
    <s v="Travel_Rarely"/>
    <n v="1223"/>
    <x v="1"/>
    <n v="7"/>
    <n v="2"/>
    <s v="Medical"/>
    <n v="1201"/>
    <n v="4"/>
    <s v="Female"/>
    <n v="50"/>
    <n v="3"/>
    <n v="5"/>
    <x v="5"/>
    <n v="3"/>
    <s v="Divorced"/>
    <n v="18606"/>
    <n v="18640"/>
    <n v="3"/>
    <x v="1"/>
    <n v="18"/>
    <n v="3"/>
    <n v="2"/>
    <n v="1"/>
    <n v="26"/>
    <n v="6"/>
    <n v="3"/>
    <n v="7"/>
    <n v="7"/>
    <n v="4"/>
    <n v="7"/>
    <s v="50+"/>
  </r>
  <r>
    <n v="29"/>
    <x v="1"/>
    <s v="Travel_Rarely"/>
    <n v="942"/>
    <x v="1"/>
    <n v="15"/>
    <n v="1"/>
    <s v="Life Sciences"/>
    <n v="1202"/>
    <n v="2"/>
    <s v="Female"/>
    <n v="69"/>
    <n v="1"/>
    <n v="1"/>
    <x v="1"/>
    <n v="4"/>
    <s v="Married"/>
    <n v="2168"/>
    <n v="26933"/>
    <n v="0"/>
    <x v="0"/>
    <n v="18"/>
    <n v="3"/>
    <n v="1"/>
    <n v="1"/>
    <n v="6"/>
    <n v="2"/>
    <n v="2"/>
    <n v="5"/>
    <n v="4"/>
    <n v="1"/>
    <n v="3"/>
    <s v="Below 30"/>
  </r>
  <r>
    <n v="22"/>
    <x v="0"/>
    <s v="Travel_Frequently"/>
    <n v="1256"/>
    <x v="1"/>
    <n v="3"/>
    <n v="4"/>
    <s v="Life Sciences"/>
    <n v="1203"/>
    <n v="3"/>
    <s v="Male"/>
    <n v="48"/>
    <n v="2"/>
    <n v="1"/>
    <x v="1"/>
    <n v="4"/>
    <s v="Married"/>
    <n v="2853"/>
    <n v="4223"/>
    <n v="0"/>
    <x v="0"/>
    <n v="11"/>
    <n v="3"/>
    <n v="2"/>
    <n v="1"/>
    <n v="1"/>
    <n v="5"/>
    <n v="3"/>
    <n v="0"/>
    <n v="0"/>
    <n v="0"/>
    <n v="0"/>
    <s v="Below 30"/>
  </r>
  <r>
    <n v="46"/>
    <x v="1"/>
    <s v="Travel_Rarely"/>
    <n v="1402"/>
    <x v="0"/>
    <n v="2"/>
    <n v="3"/>
    <s v="Marketing"/>
    <n v="1204"/>
    <n v="3"/>
    <s v="Female"/>
    <n v="69"/>
    <n v="3"/>
    <n v="4"/>
    <x v="5"/>
    <n v="1"/>
    <s v="Married"/>
    <n v="17048"/>
    <n v="24097"/>
    <n v="8"/>
    <x v="1"/>
    <n v="23"/>
    <n v="4"/>
    <n v="1"/>
    <n v="0"/>
    <n v="28"/>
    <n v="2"/>
    <n v="3"/>
    <n v="26"/>
    <n v="15"/>
    <n v="15"/>
    <n v="9"/>
    <s v="40-49"/>
  </r>
  <r>
    <n v="44"/>
    <x v="1"/>
    <s v="Non-Travel"/>
    <n v="111"/>
    <x v="1"/>
    <n v="17"/>
    <n v="3"/>
    <s v="Life Sciences"/>
    <n v="1206"/>
    <n v="4"/>
    <s v="Male"/>
    <n v="74"/>
    <n v="1"/>
    <n v="1"/>
    <x v="1"/>
    <n v="3"/>
    <s v="Single"/>
    <n v="2290"/>
    <n v="4279"/>
    <n v="2"/>
    <x v="1"/>
    <n v="13"/>
    <n v="3"/>
    <n v="4"/>
    <n v="0"/>
    <n v="6"/>
    <n v="3"/>
    <n v="3"/>
    <n v="0"/>
    <n v="0"/>
    <n v="0"/>
    <n v="0"/>
    <s v="40-49"/>
  </r>
  <r>
    <n v="33"/>
    <x v="1"/>
    <s v="Travel_Rarely"/>
    <n v="147"/>
    <x v="2"/>
    <n v="2"/>
    <n v="3"/>
    <s v="Human Resources"/>
    <n v="1207"/>
    <n v="2"/>
    <s v="Male"/>
    <n v="99"/>
    <n v="3"/>
    <n v="1"/>
    <x v="8"/>
    <n v="3"/>
    <s v="Married"/>
    <n v="3600"/>
    <n v="8429"/>
    <n v="1"/>
    <x v="1"/>
    <n v="13"/>
    <n v="3"/>
    <n v="4"/>
    <n v="1"/>
    <n v="5"/>
    <n v="2"/>
    <n v="3"/>
    <n v="5"/>
    <n v="4"/>
    <n v="1"/>
    <n v="4"/>
    <s v="30-39"/>
  </r>
  <r>
    <n v="41"/>
    <x v="0"/>
    <s v="Non-Travel"/>
    <n v="906"/>
    <x v="1"/>
    <n v="5"/>
    <n v="2"/>
    <s v="Life Sciences"/>
    <n v="1210"/>
    <n v="1"/>
    <s v="Male"/>
    <n v="95"/>
    <n v="2"/>
    <n v="1"/>
    <x v="1"/>
    <n v="1"/>
    <s v="Divorced"/>
    <n v="2107"/>
    <n v="20293"/>
    <n v="6"/>
    <x v="1"/>
    <n v="17"/>
    <n v="3"/>
    <n v="1"/>
    <n v="1"/>
    <n v="5"/>
    <n v="2"/>
    <n v="1"/>
    <n v="1"/>
    <n v="0"/>
    <n v="0"/>
    <n v="0"/>
    <s v="40-49"/>
  </r>
  <r>
    <n v="30"/>
    <x v="1"/>
    <s v="Travel_Rarely"/>
    <n v="1329"/>
    <x v="0"/>
    <n v="29"/>
    <n v="4"/>
    <s v="Life Sciences"/>
    <n v="1211"/>
    <n v="3"/>
    <s v="Male"/>
    <n v="61"/>
    <n v="3"/>
    <n v="2"/>
    <x v="0"/>
    <n v="1"/>
    <s v="Divorced"/>
    <n v="4115"/>
    <n v="13192"/>
    <n v="8"/>
    <x v="1"/>
    <n v="19"/>
    <n v="3"/>
    <n v="3"/>
    <n v="3"/>
    <n v="8"/>
    <n v="3"/>
    <n v="3"/>
    <n v="4"/>
    <n v="3"/>
    <n v="0"/>
    <n v="3"/>
    <s v="30-39"/>
  </r>
  <r>
    <n v="40"/>
    <x v="1"/>
    <s v="Travel_Frequently"/>
    <n v="1184"/>
    <x v="0"/>
    <n v="2"/>
    <n v="4"/>
    <s v="Medical"/>
    <n v="1212"/>
    <n v="2"/>
    <s v="Male"/>
    <n v="62"/>
    <n v="3"/>
    <n v="2"/>
    <x v="0"/>
    <n v="2"/>
    <s v="Married"/>
    <n v="4327"/>
    <n v="25440"/>
    <n v="5"/>
    <x v="1"/>
    <n v="12"/>
    <n v="3"/>
    <n v="4"/>
    <n v="3"/>
    <n v="5"/>
    <n v="2"/>
    <n v="3"/>
    <n v="0"/>
    <n v="0"/>
    <n v="0"/>
    <n v="0"/>
    <s v="40-49"/>
  </r>
  <r>
    <n v="50"/>
    <x v="1"/>
    <s v="Travel_Frequently"/>
    <n v="1421"/>
    <x v="1"/>
    <n v="2"/>
    <n v="3"/>
    <s v="Medical"/>
    <n v="1215"/>
    <n v="4"/>
    <s v="Female"/>
    <n v="30"/>
    <n v="3"/>
    <n v="4"/>
    <x v="5"/>
    <n v="1"/>
    <s v="Married"/>
    <n v="17856"/>
    <n v="9490"/>
    <n v="2"/>
    <x v="1"/>
    <n v="22"/>
    <n v="4"/>
    <n v="3"/>
    <n v="1"/>
    <n v="32"/>
    <n v="3"/>
    <n v="3"/>
    <n v="2"/>
    <n v="2"/>
    <n v="2"/>
    <n v="2"/>
    <s v="50+"/>
  </r>
  <r>
    <n v="28"/>
    <x v="1"/>
    <s v="Travel_Rarely"/>
    <n v="1179"/>
    <x v="1"/>
    <n v="19"/>
    <n v="4"/>
    <s v="Medical"/>
    <n v="1216"/>
    <n v="4"/>
    <s v="Male"/>
    <n v="78"/>
    <n v="2"/>
    <n v="1"/>
    <x v="2"/>
    <n v="1"/>
    <s v="Married"/>
    <n v="3196"/>
    <n v="12449"/>
    <n v="1"/>
    <x v="1"/>
    <n v="12"/>
    <n v="3"/>
    <n v="3"/>
    <n v="3"/>
    <n v="6"/>
    <n v="2"/>
    <n v="3"/>
    <n v="6"/>
    <n v="5"/>
    <n v="3"/>
    <n v="3"/>
    <s v="Below 30"/>
  </r>
  <r>
    <n v="46"/>
    <x v="1"/>
    <s v="Travel_Rarely"/>
    <n v="1450"/>
    <x v="1"/>
    <n v="15"/>
    <n v="2"/>
    <s v="Life Sciences"/>
    <n v="1217"/>
    <n v="4"/>
    <s v="Male"/>
    <n v="52"/>
    <n v="3"/>
    <n v="5"/>
    <x v="7"/>
    <n v="2"/>
    <s v="Married"/>
    <n v="19081"/>
    <n v="10849"/>
    <n v="5"/>
    <x v="1"/>
    <n v="11"/>
    <n v="3"/>
    <n v="1"/>
    <n v="1"/>
    <n v="25"/>
    <n v="2"/>
    <n v="3"/>
    <n v="4"/>
    <n v="2"/>
    <n v="0"/>
    <n v="3"/>
    <s v="40-49"/>
  </r>
  <r>
    <n v="35"/>
    <x v="1"/>
    <s v="Travel_Rarely"/>
    <n v="1361"/>
    <x v="0"/>
    <n v="17"/>
    <n v="4"/>
    <s v="Life Sciences"/>
    <n v="1218"/>
    <n v="3"/>
    <s v="Male"/>
    <n v="94"/>
    <n v="3"/>
    <n v="2"/>
    <x v="0"/>
    <n v="1"/>
    <s v="Married"/>
    <n v="8966"/>
    <n v="21026"/>
    <n v="3"/>
    <x v="0"/>
    <n v="15"/>
    <n v="3"/>
    <n v="4"/>
    <n v="3"/>
    <n v="15"/>
    <n v="2"/>
    <n v="3"/>
    <n v="7"/>
    <n v="7"/>
    <n v="1"/>
    <n v="7"/>
    <s v="30-39"/>
  </r>
  <r>
    <n v="24"/>
    <x v="0"/>
    <s v="Travel_Rarely"/>
    <n v="984"/>
    <x v="1"/>
    <n v="17"/>
    <n v="2"/>
    <s v="Life Sciences"/>
    <n v="1219"/>
    <n v="4"/>
    <s v="Female"/>
    <n v="97"/>
    <n v="3"/>
    <n v="1"/>
    <x v="2"/>
    <n v="2"/>
    <s v="Married"/>
    <n v="2210"/>
    <n v="3372"/>
    <n v="1"/>
    <x v="1"/>
    <n v="13"/>
    <n v="3"/>
    <n v="1"/>
    <n v="1"/>
    <n v="1"/>
    <n v="3"/>
    <n v="1"/>
    <n v="1"/>
    <n v="0"/>
    <n v="0"/>
    <n v="0"/>
    <s v="Below 30"/>
  </r>
  <r>
    <n v="33"/>
    <x v="1"/>
    <s v="Travel_Frequently"/>
    <n v="1146"/>
    <x v="0"/>
    <n v="25"/>
    <n v="3"/>
    <s v="Medical"/>
    <n v="1220"/>
    <n v="2"/>
    <s v="Female"/>
    <n v="82"/>
    <n v="3"/>
    <n v="2"/>
    <x v="0"/>
    <n v="3"/>
    <s v="Married"/>
    <n v="4539"/>
    <n v="4905"/>
    <n v="1"/>
    <x v="1"/>
    <n v="12"/>
    <n v="3"/>
    <n v="1"/>
    <n v="1"/>
    <n v="10"/>
    <n v="3"/>
    <n v="2"/>
    <n v="10"/>
    <n v="7"/>
    <n v="0"/>
    <n v="1"/>
    <s v="30-39"/>
  </r>
  <r>
    <n v="36"/>
    <x v="1"/>
    <s v="Travel_Rarely"/>
    <n v="917"/>
    <x v="1"/>
    <n v="6"/>
    <n v="4"/>
    <s v="Life Sciences"/>
    <n v="1221"/>
    <n v="3"/>
    <s v="Male"/>
    <n v="60"/>
    <n v="1"/>
    <n v="1"/>
    <x v="2"/>
    <n v="3"/>
    <s v="Divorced"/>
    <n v="2741"/>
    <n v="6865"/>
    <n v="1"/>
    <x v="1"/>
    <n v="14"/>
    <n v="3"/>
    <n v="3"/>
    <n v="1"/>
    <n v="7"/>
    <n v="4"/>
    <n v="3"/>
    <n v="7"/>
    <n v="7"/>
    <n v="1"/>
    <n v="7"/>
    <s v="30-39"/>
  </r>
  <r>
    <n v="30"/>
    <x v="1"/>
    <s v="Travel_Rarely"/>
    <n v="853"/>
    <x v="1"/>
    <n v="7"/>
    <n v="4"/>
    <s v="Life Sciences"/>
    <n v="1224"/>
    <n v="3"/>
    <s v="Male"/>
    <n v="49"/>
    <n v="3"/>
    <n v="2"/>
    <x v="2"/>
    <n v="3"/>
    <s v="Divorced"/>
    <n v="3491"/>
    <n v="11309"/>
    <n v="1"/>
    <x v="1"/>
    <n v="13"/>
    <n v="3"/>
    <n v="1"/>
    <n v="3"/>
    <n v="10"/>
    <n v="4"/>
    <n v="2"/>
    <n v="10"/>
    <n v="7"/>
    <n v="8"/>
    <n v="9"/>
    <s v="30-39"/>
  </r>
  <r>
    <n v="44"/>
    <x v="1"/>
    <s v="Travel_Rarely"/>
    <n v="200"/>
    <x v="1"/>
    <n v="29"/>
    <n v="4"/>
    <s v="Other"/>
    <n v="1225"/>
    <n v="4"/>
    <s v="Male"/>
    <n v="32"/>
    <n v="3"/>
    <n v="2"/>
    <x v="1"/>
    <n v="4"/>
    <s v="Single"/>
    <n v="4541"/>
    <n v="7744"/>
    <n v="1"/>
    <x v="1"/>
    <n v="25"/>
    <n v="4"/>
    <n v="2"/>
    <n v="0"/>
    <n v="20"/>
    <n v="3"/>
    <n v="3"/>
    <n v="20"/>
    <n v="11"/>
    <n v="13"/>
    <n v="17"/>
    <s v="40-49"/>
  </r>
  <r>
    <n v="20"/>
    <x v="1"/>
    <s v="Travel_Rarely"/>
    <n v="654"/>
    <x v="0"/>
    <n v="21"/>
    <n v="3"/>
    <s v="Marketing"/>
    <n v="1226"/>
    <n v="3"/>
    <s v="Male"/>
    <n v="43"/>
    <n v="4"/>
    <n v="1"/>
    <x v="6"/>
    <n v="4"/>
    <s v="Single"/>
    <n v="2678"/>
    <n v="5050"/>
    <n v="1"/>
    <x v="1"/>
    <n v="17"/>
    <n v="3"/>
    <n v="4"/>
    <n v="0"/>
    <n v="2"/>
    <n v="2"/>
    <n v="3"/>
    <n v="2"/>
    <n v="1"/>
    <n v="2"/>
    <n v="2"/>
    <s v="Below 30"/>
  </r>
  <r>
    <n v="46"/>
    <x v="1"/>
    <s v="Travel_Rarely"/>
    <n v="150"/>
    <x v="1"/>
    <n v="2"/>
    <n v="4"/>
    <s v="Technical Degree"/>
    <n v="1228"/>
    <n v="4"/>
    <s v="Male"/>
    <n v="60"/>
    <n v="3"/>
    <n v="2"/>
    <x v="3"/>
    <n v="4"/>
    <s v="Divorced"/>
    <n v="7379"/>
    <n v="17433"/>
    <n v="2"/>
    <x v="1"/>
    <n v="11"/>
    <n v="3"/>
    <n v="3"/>
    <n v="1"/>
    <n v="12"/>
    <n v="3"/>
    <n v="2"/>
    <n v="6"/>
    <n v="3"/>
    <n v="1"/>
    <n v="4"/>
    <s v="40-49"/>
  </r>
  <r>
    <n v="42"/>
    <x v="1"/>
    <s v="Non-Travel"/>
    <n v="179"/>
    <x v="2"/>
    <n v="2"/>
    <n v="5"/>
    <s v="Medical"/>
    <n v="1231"/>
    <n v="4"/>
    <s v="Male"/>
    <n v="79"/>
    <n v="4"/>
    <n v="2"/>
    <x v="8"/>
    <n v="1"/>
    <s v="Married"/>
    <n v="6272"/>
    <n v="12858"/>
    <n v="7"/>
    <x v="1"/>
    <n v="16"/>
    <n v="3"/>
    <n v="1"/>
    <n v="1"/>
    <n v="10"/>
    <n v="3"/>
    <n v="4"/>
    <n v="4"/>
    <n v="3"/>
    <n v="0"/>
    <n v="3"/>
    <s v="40-49"/>
  </r>
  <r>
    <n v="60"/>
    <x v="1"/>
    <s v="Travel_Rarely"/>
    <n v="696"/>
    <x v="0"/>
    <n v="7"/>
    <n v="4"/>
    <s v="Marketing"/>
    <n v="1233"/>
    <n v="2"/>
    <s v="Male"/>
    <n v="52"/>
    <n v="4"/>
    <n v="2"/>
    <x v="0"/>
    <n v="4"/>
    <s v="Divorced"/>
    <n v="5220"/>
    <n v="10893"/>
    <n v="0"/>
    <x v="0"/>
    <n v="18"/>
    <n v="3"/>
    <n v="2"/>
    <n v="1"/>
    <n v="12"/>
    <n v="3"/>
    <n v="3"/>
    <n v="11"/>
    <n v="7"/>
    <n v="1"/>
    <n v="9"/>
    <s v="50+"/>
  </r>
  <r>
    <n v="32"/>
    <x v="1"/>
    <s v="Travel_Frequently"/>
    <n v="116"/>
    <x v="1"/>
    <n v="13"/>
    <n v="3"/>
    <s v="Other"/>
    <n v="1234"/>
    <n v="3"/>
    <s v="Female"/>
    <n v="77"/>
    <n v="2"/>
    <n v="1"/>
    <x v="2"/>
    <n v="2"/>
    <s v="Married"/>
    <n v="2743"/>
    <n v="7331"/>
    <n v="1"/>
    <x v="1"/>
    <n v="20"/>
    <n v="4"/>
    <n v="3"/>
    <n v="1"/>
    <n v="2"/>
    <n v="2"/>
    <n v="3"/>
    <n v="2"/>
    <n v="2"/>
    <n v="2"/>
    <n v="2"/>
    <s v="30-39"/>
  </r>
  <r>
    <n v="32"/>
    <x v="1"/>
    <s v="Travel_Frequently"/>
    <n v="1316"/>
    <x v="1"/>
    <n v="2"/>
    <n v="2"/>
    <s v="Life Sciences"/>
    <n v="1235"/>
    <n v="4"/>
    <s v="Female"/>
    <n v="38"/>
    <n v="3"/>
    <n v="2"/>
    <x v="1"/>
    <n v="3"/>
    <s v="Single"/>
    <n v="4998"/>
    <n v="2338"/>
    <n v="4"/>
    <x v="0"/>
    <n v="14"/>
    <n v="3"/>
    <n v="4"/>
    <n v="0"/>
    <n v="10"/>
    <n v="2"/>
    <n v="3"/>
    <n v="8"/>
    <n v="7"/>
    <n v="0"/>
    <n v="7"/>
    <s v="30-39"/>
  </r>
  <r>
    <n v="36"/>
    <x v="1"/>
    <s v="Travel_Rarely"/>
    <n v="363"/>
    <x v="1"/>
    <n v="1"/>
    <n v="3"/>
    <s v="Technical Degree"/>
    <n v="1237"/>
    <n v="3"/>
    <s v="Female"/>
    <n v="77"/>
    <n v="1"/>
    <n v="3"/>
    <x v="3"/>
    <n v="1"/>
    <s v="Divorced"/>
    <n v="10252"/>
    <n v="4235"/>
    <n v="2"/>
    <x v="0"/>
    <n v="21"/>
    <n v="4"/>
    <n v="3"/>
    <n v="1"/>
    <n v="17"/>
    <n v="2"/>
    <n v="3"/>
    <n v="7"/>
    <n v="7"/>
    <n v="7"/>
    <n v="7"/>
    <s v="30-39"/>
  </r>
  <r>
    <n v="33"/>
    <x v="1"/>
    <s v="Travel_Rarely"/>
    <n v="117"/>
    <x v="1"/>
    <n v="9"/>
    <n v="3"/>
    <s v="Medical"/>
    <n v="1238"/>
    <n v="1"/>
    <s v="Male"/>
    <n v="60"/>
    <n v="3"/>
    <n v="1"/>
    <x v="1"/>
    <n v="4"/>
    <s v="Married"/>
    <n v="2781"/>
    <n v="6311"/>
    <n v="0"/>
    <x v="1"/>
    <n v="13"/>
    <n v="3"/>
    <n v="2"/>
    <n v="1"/>
    <n v="15"/>
    <n v="5"/>
    <n v="3"/>
    <n v="14"/>
    <n v="10"/>
    <n v="4"/>
    <n v="10"/>
    <s v="30-39"/>
  </r>
  <r>
    <n v="40"/>
    <x v="1"/>
    <s v="Travel_Rarely"/>
    <n v="107"/>
    <x v="0"/>
    <n v="10"/>
    <n v="3"/>
    <s v="Technical Degree"/>
    <n v="1239"/>
    <n v="2"/>
    <s v="Female"/>
    <n v="84"/>
    <n v="2"/>
    <n v="2"/>
    <x v="0"/>
    <n v="2"/>
    <s v="Divorced"/>
    <n v="6852"/>
    <n v="11591"/>
    <n v="7"/>
    <x v="1"/>
    <n v="12"/>
    <n v="3"/>
    <n v="2"/>
    <n v="1"/>
    <n v="7"/>
    <n v="2"/>
    <n v="4"/>
    <n v="5"/>
    <n v="1"/>
    <n v="1"/>
    <n v="3"/>
    <s v="40-49"/>
  </r>
  <r>
    <n v="25"/>
    <x v="1"/>
    <s v="Travel_Rarely"/>
    <n v="1356"/>
    <x v="0"/>
    <n v="10"/>
    <n v="4"/>
    <s v="Life Sciences"/>
    <n v="1240"/>
    <n v="3"/>
    <s v="Male"/>
    <n v="57"/>
    <n v="3"/>
    <n v="2"/>
    <x v="0"/>
    <n v="4"/>
    <s v="Single"/>
    <n v="4950"/>
    <n v="20623"/>
    <n v="0"/>
    <x v="1"/>
    <n v="14"/>
    <n v="3"/>
    <n v="2"/>
    <n v="0"/>
    <n v="5"/>
    <n v="4"/>
    <n v="3"/>
    <n v="4"/>
    <n v="3"/>
    <n v="1"/>
    <n v="1"/>
    <s v="Below 30"/>
  </r>
  <r>
    <n v="30"/>
    <x v="1"/>
    <s v="Travel_Rarely"/>
    <n v="1465"/>
    <x v="1"/>
    <n v="1"/>
    <n v="3"/>
    <s v="Medical"/>
    <n v="1241"/>
    <n v="4"/>
    <s v="Male"/>
    <n v="63"/>
    <n v="3"/>
    <n v="1"/>
    <x v="1"/>
    <n v="2"/>
    <s v="Married"/>
    <n v="3579"/>
    <n v="9369"/>
    <n v="0"/>
    <x v="0"/>
    <n v="21"/>
    <n v="4"/>
    <n v="1"/>
    <n v="1"/>
    <n v="12"/>
    <n v="2"/>
    <n v="3"/>
    <n v="11"/>
    <n v="9"/>
    <n v="5"/>
    <n v="7"/>
    <s v="30-39"/>
  </r>
  <r>
    <n v="42"/>
    <x v="1"/>
    <s v="Travel_Frequently"/>
    <n v="458"/>
    <x v="1"/>
    <n v="26"/>
    <n v="5"/>
    <s v="Medical"/>
    <n v="1242"/>
    <n v="1"/>
    <s v="Female"/>
    <n v="60"/>
    <n v="3"/>
    <n v="3"/>
    <x v="7"/>
    <n v="1"/>
    <s v="Married"/>
    <n v="13191"/>
    <n v="23281"/>
    <n v="3"/>
    <x v="0"/>
    <n v="17"/>
    <n v="3"/>
    <n v="3"/>
    <n v="0"/>
    <n v="20"/>
    <n v="6"/>
    <n v="3"/>
    <n v="1"/>
    <n v="0"/>
    <n v="0"/>
    <n v="0"/>
    <s v="40-49"/>
  </r>
  <r>
    <n v="35"/>
    <x v="1"/>
    <s v="Non-Travel"/>
    <n v="1212"/>
    <x v="0"/>
    <n v="8"/>
    <n v="2"/>
    <s v="Marketing"/>
    <n v="1243"/>
    <n v="3"/>
    <s v="Female"/>
    <n v="78"/>
    <n v="2"/>
    <n v="3"/>
    <x v="0"/>
    <n v="4"/>
    <s v="Married"/>
    <n v="10377"/>
    <n v="13755"/>
    <n v="4"/>
    <x v="0"/>
    <n v="11"/>
    <n v="3"/>
    <n v="2"/>
    <n v="1"/>
    <n v="16"/>
    <n v="6"/>
    <n v="2"/>
    <n v="13"/>
    <n v="2"/>
    <n v="4"/>
    <n v="12"/>
    <s v="30-39"/>
  </r>
  <r>
    <n v="27"/>
    <x v="1"/>
    <s v="Travel_Rarely"/>
    <n v="1103"/>
    <x v="1"/>
    <n v="14"/>
    <n v="3"/>
    <s v="Life Sciences"/>
    <n v="1244"/>
    <n v="1"/>
    <s v="Male"/>
    <n v="42"/>
    <n v="3"/>
    <n v="1"/>
    <x v="1"/>
    <n v="1"/>
    <s v="Married"/>
    <n v="2235"/>
    <n v="14377"/>
    <n v="1"/>
    <x v="0"/>
    <n v="14"/>
    <n v="3"/>
    <n v="4"/>
    <n v="2"/>
    <n v="9"/>
    <n v="3"/>
    <n v="2"/>
    <n v="9"/>
    <n v="7"/>
    <n v="6"/>
    <n v="8"/>
    <s v="Below 30"/>
  </r>
  <r>
    <n v="54"/>
    <x v="1"/>
    <s v="Travel_Frequently"/>
    <n v="966"/>
    <x v="1"/>
    <n v="1"/>
    <n v="4"/>
    <s v="Life Sciences"/>
    <n v="1245"/>
    <n v="4"/>
    <s v="Female"/>
    <n v="53"/>
    <n v="3"/>
    <n v="3"/>
    <x v="3"/>
    <n v="3"/>
    <s v="Divorced"/>
    <n v="10502"/>
    <n v="9659"/>
    <n v="7"/>
    <x v="1"/>
    <n v="17"/>
    <n v="3"/>
    <n v="1"/>
    <n v="1"/>
    <n v="33"/>
    <n v="2"/>
    <n v="1"/>
    <n v="5"/>
    <n v="4"/>
    <n v="1"/>
    <n v="4"/>
    <s v="50+"/>
  </r>
  <r>
    <n v="44"/>
    <x v="1"/>
    <s v="Travel_Rarely"/>
    <n v="1117"/>
    <x v="1"/>
    <n v="2"/>
    <n v="1"/>
    <s v="Life Sciences"/>
    <n v="1246"/>
    <n v="1"/>
    <s v="Female"/>
    <n v="72"/>
    <n v="4"/>
    <n v="1"/>
    <x v="1"/>
    <n v="4"/>
    <s v="Married"/>
    <n v="2011"/>
    <n v="19982"/>
    <n v="1"/>
    <x v="1"/>
    <n v="13"/>
    <n v="3"/>
    <n v="4"/>
    <n v="1"/>
    <n v="10"/>
    <n v="5"/>
    <n v="3"/>
    <n v="10"/>
    <n v="5"/>
    <n v="7"/>
    <n v="7"/>
    <s v="40-49"/>
  </r>
  <r>
    <n v="19"/>
    <x v="0"/>
    <s v="Non-Travel"/>
    <n v="504"/>
    <x v="1"/>
    <n v="10"/>
    <n v="3"/>
    <s v="Medical"/>
    <n v="1248"/>
    <n v="1"/>
    <s v="Female"/>
    <n v="96"/>
    <n v="2"/>
    <n v="1"/>
    <x v="1"/>
    <n v="2"/>
    <s v="Single"/>
    <n v="1859"/>
    <n v="6148"/>
    <n v="1"/>
    <x v="0"/>
    <n v="25"/>
    <n v="4"/>
    <n v="2"/>
    <n v="0"/>
    <n v="1"/>
    <n v="2"/>
    <n v="4"/>
    <n v="1"/>
    <n v="1"/>
    <n v="0"/>
    <n v="0"/>
    <s v="Below 30"/>
  </r>
  <r>
    <n v="29"/>
    <x v="1"/>
    <s v="Travel_Rarely"/>
    <n v="1010"/>
    <x v="1"/>
    <n v="1"/>
    <n v="3"/>
    <s v="Life Sciences"/>
    <n v="1249"/>
    <n v="1"/>
    <s v="Female"/>
    <n v="97"/>
    <n v="3"/>
    <n v="1"/>
    <x v="1"/>
    <n v="4"/>
    <s v="Divorced"/>
    <n v="3760"/>
    <n v="5598"/>
    <n v="1"/>
    <x v="1"/>
    <n v="15"/>
    <n v="3"/>
    <n v="1"/>
    <n v="3"/>
    <n v="3"/>
    <n v="5"/>
    <n v="3"/>
    <n v="3"/>
    <n v="2"/>
    <n v="1"/>
    <n v="2"/>
    <s v="Below 30"/>
  </r>
  <r>
    <n v="54"/>
    <x v="1"/>
    <s v="Travel_Rarely"/>
    <n v="685"/>
    <x v="1"/>
    <n v="3"/>
    <n v="3"/>
    <s v="Life Sciences"/>
    <n v="1250"/>
    <n v="4"/>
    <s v="Male"/>
    <n v="85"/>
    <n v="3"/>
    <n v="4"/>
    <x v="7"/>
    <n v="4"/>
    <s v="Married"/>
    <n v="17779"/>
    <n v="23474"/>
    <n v="3"/>
    <x v="1"/>
    <n v="14"/>
    <n v="3"/>
    <n v="1"/>
    <n v="0"/>
    <n v="36"/>
    <n v="2"/>
    <n v="3"/>
    <n v="10"/>
    <n v="9"/>
    <n v="0"/>
    <n v="9"/>
    <s v="50+"/>
  </r>
  <r>
    <n v="31"/>
    <x v="1"/>
    <s v="Travel_Rarely"/>
    <n v="1332"/>
    <x v="1"/>
    <n v="11"/>
    <n v="2"/>
    <s v="Medical"/>
    <n v="1251"/>
    <n v="3"/>
    <s v="Male"/>
    <n v="80"/>
    <n v="3"/>
    <n v="2"/>
    <x v="4"/>
    <n v="1"/>
    <s v="Married"/>
    <n v="6833"/>
    <n v="17089"/>
    <n v="1"/>
    <x v="0"/>
    <n v="12"/>
    <n v="3"/>
    <n v="4"/>
    <n v="0"/>
    <n v="6"/>
    <n v="2"/>
    <n v="2"/>
    <n v="6"/>
    <n v="5"/>
    <n v="0"/>
    <n v="1"/>
    <s v="30-39"/>
  </r>
  <r>
    <n v="31"/>
    <x v="1"/>
    <s v="Travel_Rarely"/>
    <n v="1062"/>
    <x v="1"/>
    <n v="24"/>
    <n v="3"/>
    <s v="Medical"/>
    <n v="1252"/>
    <n v="3"/>
    <s v="Female"/>
    <n v="96"/>
    <n v="2"/>
    <n v="2"/>
    <x v="4"/>
    <n v="1"/>
    <s v="Single"/>
    <n v="6812"/>
    <n v="17198"/>
    <n v="1"/>
    <x v="1"/>
    <n v="19"/>
    <n v="3"/>
    <n v="2"/>
    <n v="0"/>
    <n v="10"/>
    <n v="2"/>
    <n v="3"/>
    <n v="10"/>
    <n v="9"/>
    <n v="1"/>
    <n v="8"/>
    <s v="30-39"/>
  </r>
  <r>
    <n v="59"/>
    <x v="1"/>
    <s v="Travel_Rarely"/>
    <n v="326"/>
    <x v="0"/>
    <n v="3"/>
    <n v="3"/>
    <s v="Life Sciences"/>
    <n v="1254"/>
    <n v="3"/>
    <s v="Female"/>
    <n v="48"/>
    <n v="2"/>
    <n v="2"/>
    <x v="0"/>
    <n v="4"/>
    <s v="Single"/>
    <n v="5171"/>
    <n v="16490"/>
    <n v="5"/>
    <x v="1"/>
    <n v="17"/>
    <n v="3"/>
    <n v="4"/>
    <n v="0"/>
    <n v="13"/>
    <n v="2"/>
    <n v="3"/>
    <n v="6"/>
    <n v="1"/>
    <n v="0"/>
    <n v="5"/>
    <s v="50+"/>
  </r>
  <r>
    <n v="43"/>
    <x v="1"/>
    <s v="Travel_Rarely"/>
    <n v="920"/>
    <x v="1"/>
    <n v="3"/>
    <n v="3"/>
    <s v="Life Sciences"/>
    <n v="1255"/>
    <n v="3"/>
    <s v="Male"/>
    <n v="96"/>
    <n v="1"/>
    <n v="5"/>
    <x v="7"/>
    <n v="4"/>
    <s v="Married"/>
    <n v="19740"/>
    <n v="18625"/>
    <n v="3"/>
    <x v="1"/>
    <n v="14"/>
    <n v="3"/>
    <n v="2"/>
    <n v="1"/>
    <n v="25"/>
    <n v="2"/>
    <n v="3"/>
    <n v="8"/>
    <n v="7"/>
    <n v="0"/>
    <n v="7"/>
    <s v="40-49"/>
  </r>
  <r>
    <n v="49"/>
    <x v="1"/>
    <s v="Travel_Rarely"/>
    <n v="1098"/>
    <x v="1"/>
    <n v="4"/>
    <n v="2"/>
    <s v="Medical"/>
    <n v="1256"/>
    <n v="1"/>
    <s v="Male"/>
    <n v="85"/>
    <n v="2"/>
    <n v="5"/>
    <x v="5"/>
    <n v="3"/>
    <s v="Married"/>
    <n v="18711"/>
    <n v="12124"/>
    <n v="2"/>
    <x v="1"/>
    <n v="13"/>
    <n v="3"/>
    <n v="3"/>
    <n v="1"/>
    <n v="23"/>
    <n v="2"/>
    <n v="4"/>
    <n v="1"/>
    <n v="0"/>
    <n v="0"/>
    <n v="0"/>
    <s v="40-49"/>
  </r>
  <r>
    <n v="36"/>
    <x v="1"/>
    <s v="Travel_Frequently"/>
    <n v="469"/>
    <x v="1"/>
    <n v="3"/>
    <n v="3"/>
    <s v="Technical Degree"/>
    <n v="1257"/>
    <n v="3"/>
    <s v="Male"/>
    <n v="46"/>
    <n v="3"/>
    <n v="1"/>
    <x v="1"/>
    <n v="2"/>
    <s v="Married"/>
    <n v="3692"/>
    <n v="9256"/>
    <n v="1"/>
    <x v="1"/>
    <n v="12"/>
    <n v="3"/>
    <n v="3"/>
    <n v="0"/>
    <n v="12"/>
    <n v="2"/>
    <n v="2"/>
    <n v="11"/>
    <n v="10"/>
    <n v="0"/>
    <n v="7"/>
    <s v="30-39"/>
  </r>
  <r>
    <n v="48"/>
    <x v="1"/>
    <s v="Travel_Rarely"/>
    <n v="969"/>
    <x v="1"/>
    <n v="2"/>
    <n v="2"/>
    <s v="Technical Degree"/>
    <n v="1258"/>
    <n v="4"/>
    <s v="Male"/>
    <n v="76"/>
    <n v="4"/>
    <n v="1"/>
    <x v="2"/>
    <n v="2"/>
    <s v="Single"/>
    <n v="2559"/>
    <n v="16620"/>
    <n v="5"/>
    <x v="1"/>
    <n v="11"/>
    <n v="3"/>
    <n v="3"/>
    <n v="0"/>
    <n v="7"/>
    <n v="4"/>
    <n v="2"/>
    <n v="1"/>
    <n v="0"/>
    <n v="0"/>
    <n v="0"/>
    <s v="40-49"/>
  </r>
  <r>
    <n v="27"/>
    <x v="1"/>
    <s v="Travel_Rarely"/>
    <n v="1167"/>
    <x v="1"/>
    <n v="4"/>
    <n v="2"/>
    <s v="Life Sciences"/>
    <n v="1259"/>
    <n v="1"/>
    <s v="Male"/>
    <n v="76"/>
    <n v="3"/>
    <n v="1"/>
    <x v="1"/>
    <n v="3"/>
    <s v="Divorced"/>
    <n v="2517"/>
    <n v="3208"/>
    <n v="1"/>
    <x v="1"/>
    <n v="11"/>
    <n v="3"/>
    <n v="2"/>
    <n v="3"/>
    <n v="5"/>
    <n v="2"/>
    <n v="3"/>
    <n v="5"/>
    <n v="3"/>
    <n v="0"/>
    <n v="3"/>
    <s v="Below 30"/>
  </r>
  <r>
    <n v="29"/>
    <x v="1"/>
    <s v="Travel_Rarely"/>
    <n v="1329"/>
    <x v="1"/>
    <n v="7"/>
    <n v="3"/>
    <s v="Life Sciences"/>
    <n v="1260"/>
    <n v="3"/>
    <s v="Male"/>
    <n v="82"/>
    <n v="3"/>
    <n v="2"/>
    <x v="4"/>
    <n v="4"/>
    <s v="Divorced"/>
    <n v="6623"/>
    <n v="4204"/>
    <n v="1"/>
    <x v="0"/>
    <n v="11"/>
    <n v="3"/>
    <n v="2"/>
    <n v="2"/>
    <n v="6"/>
    <n v="2"/>
    <n v="3"/>
    <n v="6"/>
    <n v="0"/>
    <n v="1"/>
    <n v="0"/>
    <s v="Below 30"/>
  </r>
  <r>
    <n v="48"/>
    <x v="1"/>
    <s v="Travel_Rarely"/>
    <n v="715"/>
    <x v="1"/>
    <n v="1"/>
    <n v="3"/>
    <s v="Life Sciences"/>
    <n v="1263"/>
    <n v="4"/>
    <s v="Male"/>
    <n v="76"/>
    <n v="2"/>
    <n v="5"/>
    <x v="7"/>
    <n v="4"/>
    <s v="Single"/>
    <n v="18265"/>
    <n v="8733"/>
    <n v="6"/>
    <x v="1"/>
    <n v="12"/>
    <n v="3"/>
    <n v="3"/>
    <n v="0"/>
    <n v="25"/>
    <n v="3"/>
    <n v="4"/>
    <n v="1"/>
    <n v="0"/>
    <n v="0"/>
    <n v="0"/>
    <s v="40-49"/>
  </r>
  <r>
    <n v="29"/>
    <x v="1"/>
    <s v="Travel_Rarely"/>
    <n v="694"/>
    <x v="1"/>
    <n v="1"/>
    <n v="3"/>
    <s v="Life Sciences"/>
    <n v="1264"/>
    <n v="4"/>
    <s v="Female"/>
    <n v="87"/>
    <n v="2"/>
    <n v="4"/>
    <x v="7"/>
    <n v="4"/>
    <s v="Divorced"/>
    <n v="16124"/>
    <n v="3423"/>
    <n v="3"/>
    <x v="1"/>
    <n v="14"/>
    <n v="3"/>
    <n v="2"/>
    <n v="2"/>
    <n v="9"/>
    <n v="2"/>
    <n v="2"/>
    <n v="7"/>
    <n v="7"/>
    <n v="1"/>
    <n v="7"/>
    <s v="Below 30"/>
  </r>
  <r>
    <n v="34"/>
    <x v="1"/>
    <s v="Travel_Rarely"/>
    <n v="1320"/>
    <x v="1"/>
    <n v="20"/>
    <n v="3"/>
    <s v="Technical Degree"/>
    <n v="1265"/>
    <n v="3"/>
    <s v="Female"/>
    <n v="89"/>
    <n v="4"/>
    <n v="1"/>
    <x v="1"/>
    <n v="3"/>
    <s v="Married"/>
    <n v="2585"/>
    <n v="21643"/>
    <n v="0"/>
    <x v="1"/>
    <n v="17"/>
    <n v="3"/>
    <n v="4"/>
    <n v="0"/>
    <n v="2"/>
    <n v="5"/>
    <n v="2"/>
    <n v="1"/>
    <n v="0"/>
    <n v="0"/>
    <n v="0"/>
    <s v="30-39"/>
  </r>
  <r>
    <n v="44"/>
    <x v="1"/>
    <s v="Travel_Rarely"/>
    <n v="1099"/>
    <x v="0"/>
    <n v="5"/>
    <n v="3"/>
    <s v="Marketing"/>
    <n v="1267"/>
    <n v="2"/>
    <s v="Male"/>
    <n v="88"/>
    <n v="3"/>
    <n v="5"/>
    <x v="5"/>
    <n v="2"/>
    <s v="Married"/>
    <n v="18213"/>
    <n v="8751"/>
    <n v="7"/>
    <x v="1"/>
    <n v="11"/>
    <n v="3"/>
    <n v="3"/>
    <n v="1"/>
    <n v="26"/>
    <n v="5"/>
    <n v="3"/>
    <n v="22"/>
    <n v="9"/>
    <n v="3"/>
    <n v="10"/>
    <s v="40-49"/>
  </r>
  <r>
    <n v="33"/>
    <x v="1"/>
    <s v="Travel_Rarely"/>
    <n v="536"/>
    <x v="0"/>
    <n v="10"/>
    <n v="5"/>
    <s v="Marketing"/>
    <n v="1268"/>
    <n v="4"/>
    <s v="Male"/>
    <n v="82"/>
    <n v="4"/>
    <n v="3"/>
    <x v="0"/>
    <n v="3"/>
    <s v="Divorced"/>
    <n v="8380"/>
    <n v="21708"/>
    <n v="0"/>
    <x v="0"/>
    <n v="14"/>
    <n v="3"/>
    <n v="4"/>
    <n v="2"/>
    <n v="10"/>
    <n v="3"/>
    <n v="3"/>
    <n v="9"/>
    <n v="8"/>
    <n v="0"/>
    <n v="8"/>
    <s v="30-39"/>
  </r>
  <r>
    <n v="19"/>
    <x v="1"/>
    <s v="Travel_Rarely"/>
    <n v="265"/>
    <x v="1"/>
    <n v="25"/>
    <n v="3"/>
    <s v="Life Sciences"/>
    <n v="1269"/>
    <n v="2"/>
    <s v="Female"/>
    <n v="57"/>
    <n v="4"/>
    <n v="1"/>
    <x v="1"/>
    <n v="4"/>
    <s v="Single"/>
    <n v="2994"/>
    <n v="21221"/>
    <n v="1"/>
    <x v="0"/>
    <n v="12"/>
    <n v="3"/>
    <n v="4"/>
    <n v="0"/>
    <n v="1"/>
    <n v="2"/>
    <n v="3"/>
    <n v="1"/>
    <n v="0"/>
    <n v="0"/>
    <n v="1"/>
    <s v="Below 30"/>
  </r>
  <r>
    <n v="23"/>
    <x v="1"/>
    <s v="Travel_Rarely"/>
    <n v="373"/>
    <x v="1"/>
    <n v="1"/>
    <n v="2"/>
    <s v="Life Sciences"/>
    <n v="1270"/>
    <n v="4"/>
    <s v="Male"/>
    <n v="47"/>
    <n v="3"/>
    <n v="1"/>
    <x v="1"/>
    <n v="3"/>
    <s v="Married"/>
    <n v="1223"/>
    <n v="16901"/>
    <n v="1"/>
    <x v="1"/>
    <n v="22"/>
    <n v="4"/>
    <n v="4"/>
    <n v="1"/>
    <n v="1"/>
    <n v="2"/>
    <n v="3"/>
    <n v="1"/>
    <n v="0"/>
    <n v="0"/>
    <n v="1"/>
    <s v="Below 30"/>
  </r>
  <r>
    <n v="25"/>
    <x v="0"/>
    <s v="Travel_Frequently"/>
    <n v="599"/>
    <x v="0"/>
    <n v="24"/>
    <n v="1"/>
    <s v="Life Sciences"/>
    <n v="1273"/>
    <n v="3"/>
    <s v="Male"/>
    <n v="73"/>
    <n v="1"/>
    <n v="1"/>
    <x v="6"/>
    <n v="4"/>
    <s v="Single"/>
    <n v="1118"/>
    <n v="8040"/>
    <n v="1"/>
    <x v="0"/>
    <n v="14"/>
    <n v="3"/>
    <n v="4"/>
    <n v="0"/>
    <n v="1"/>
    <n v="4"/>
    <n v="3"/>
    <n v="1"/>
    <n v="0"/>
    <n v="1"/>
    <n v="0"/>
    <s v="Below 30"/>
  </r>
  <r>
    <n v="26"/>
    <x v="1"/>
    <s v="Travel_Rarely"/>
    <n v="583"/>
    <x v="1"/>
    <n v="4"/>
    <n v="2"/>
    <s v="Life Sciences"/>
    <n v="1275"/>
    <n v="3"/>
    <s v="Male"/>
    <n v="53"/>
    <n v="3"/>
    <n v="1"/>
    <x v="1"/>
    <n v="4"/>
    <s v="Single"/>
    <n v="2875"/>
    <n v="9973"/>
    <n v="1"/>
    <x v="0"/>
    <n v="20"/>
    <n v="4"/>
    <n v="2"/>
    <n v="0"/>
    <n v="8"/>
    <n v="2"/>
    <n v="2"/>
    <n v="8"/>
    <n v="5"/>
    <n v="2"/>
    <n v="2"/>
    <s v="Below 30"/>
  </r>
  <r>
    <n v="45"/>
    <x v="0"/>
    <s v="Travel_Rarely"/>
    <n v="1449"/>
    <x v="0"/>
    <n v="2"/>
    <n v="3"/>
    <s v="Marketing"/>
    <n v="1277"/>
    <n v="1"/>
    <s v="Female"/>
    <n v="94"/>
    <n v="1"/>
    <n v="5"/>
    <x v="5"/>
    <n v="2"/>
    <s v="Single"/>
    <n v="18824"/>
    <n v="2493"/>
    <n v="2"/>
    <x v="0"/>
    <n v="16"/>
    <n v="3"/>
    <n v="1"/>
    <n v="0"/>
    <n v="26"/>
    <n v="2"/>
    <n v="3"/>
    <n v="24"/>
    <n v="10"/>
    <n v="1"/>
    <n v="11"/>
    <s v="40-49"/>
  </r>
  <r>
    <n v="55"/>
    <x v="1"/>
    <s v="Non-Travel"/>
    <n v="177"/>
    <x v="1"/>
    <n v="8"/>
    <n v="1"/>
    <s v="Medical"/>
    <n v="1278"/>
    <n v="4"/>
    <s v="Male"/>
    <n v="37"/>
    <n v="2"/>
    <n v="4"/>
    <x v="4"/>
    <n v="2"/>
    <s v="Divorced"/>
    <n v="13577"/>
    <n v="25592"/>
    <n v="1"/>
    <x v="0"/>
    <n v="15"/>
    <n v="3"/>
    <n v="4"/>
    <n v="1"/>
    <n v="34"/>
    <n v="3"/>
    <n v="3"/>
    <n v="33"/>
    <n v="9"/>
    <n v="15"/>
    <n v="0"/>
    <s v="50+"/>
  </r>
  <r>
    <n v="21"/>
    <x v="0"/>
    <s v="Travel_Frequently"/>
    <n v="251"/>
    <x v="1"/>
    <n v="10"/>
    <n v="2"/>
    <s v="Life Sciences"/>
    <n v="1279"/>
    <n v="1"/>
    <s v="Female"/>
    <n v="45"/>
    <n v="2"/>
    <n v="1"/>
    <x v="2"/>
    <n v="3"/>
    <s v="Single"/>
    <n v="2625"/>
    <n v="25308"/>
    <n v="1"/>
    <x v="1"/>
    <n v="20"/>
    <n v="4"/>
    <n v="3"/>
    <n v="0"/>
    <n v="2"/>
    <n v="2"/>
    <n v="1"/>
    <n v="2"/>
    <n v="2"/>
    <n v="2"/>
    <n v="2"/>
    <s v="Below 30"/>
  </r>
  <r>
    <n v="46"/>
    <x v="1"/>
    <s v="Travel_Rarely"/>
    <n v="168"/>
    <x v="0"/>
    <n v="4"/>
    <n v="2"/>
    <s v="Marketing"/>
    <n v="1280"/>
    <n v="4"/>
    <s v="Female"/>
    <n v="33"/>
    <n v="2"/>
    <n v="5"/>
    <x v="5"/>
    <n v="2"/>
    <s v="Married"/>
    <n v="18789"/>
    <n v="9946"/>
    <n v="2"/>
    <x v="1"/>
    <n v="14"/>
    <n v="3"/>
    <n v="3"/>
    <n v="1"/>
    <n v="26"/>
    <n v="2"/>
    <n v="3"/>
    <n v="11"/>
    <n v="4"/>
    <n v="0"/>
    <n v="8"/>
    <s v="40-49"/>
  </r>
  <r>
    <n v="34"/>
    <x v="1"/>
    <s v="Travel_Rarely"/>
    <n v="131"/>
    <x v="0"/>
    <n v="2"/>
    <n v="3"/>
    <s v="Marketing"/>
    <n v="1281"/>
    <n v="3"/>
    <s v="Female"/>
    <n v="86"/>
    <n v="3"/>
    <n v="2"/>
    <x v="0"/>
    <n v="1"/>
    <s v="Single"/>
    <n v="4538"/>
    <n v="6039"/>
    <n v="0"/>
    <x v="0"/>
    <n v="12"/>
    <n v="3"/>
    <n v="4"/>
    <n v="0"/>
    <n v="4"/>
    <n v="3"/>
    <n v="3"/>
    <n v="3"/>
    <n v="2"/>
    <n v="0"/>
    <n v="2"/>
    <s v="30-39"/>
  </r>
  <r>
    <n v="51"/>
    <x v="1"/>
    <s v="Travel_Frequently"/>
    <n v="237"/>
    <x v="0"/>
    <n v="9"/>
    <n v="3"/>
    <s v="Life Sciences"/>
    <n v="1282"/>
    <n v="4"/>
    <s v="Male"/>
    <n v="83"/>
    <n v="3"/>
    <n v="5"/>
    <x v="5"/>
    <n v="2"/>
    <s v="Divorced"/>
    <n v="19847"/>
    <n v="19196"/>
    <n v="4"/>
    <x v="0"/>
    <n v="24"/>
    <n v="4"/>
    <n v="1"/>
    <n v="1"/>
    <n v="31"/>
    <n v="5"/>
    <n v="2"/>
    <n v="29"/>
    <n v="10"/>
    <n v="11"/>
    <n v="10"/>
    <s v="50+"/>
  </r>
  <r>
    <n v="59"/>
    <x v="1"/>
    <s v="Travel_Rarely"/>
    <n v="1429"/>
    <x v="1"/>
    <n v="18"/>
    <n v="4"/>
    <s v="Medical"/>
    <n v="1283"/>
    <n v="4"/>
    <s v="Male"/>
    <n v="67"/>
    <n v="3"/>
    <n v="3"/>
    <x v="3"/>
    <n v="4"/>
    <s v="Single"/>
    <n v="10512"/>
    <n v="20002"/>
    <n v="6"/>
    <x v="1"/>
    <n v="12"/>
    <n v="3"/>
    <n v="4"/>
    <n v="0"/>
    <n v="25"/>
    <n v="6"/>
    <n v="2"/>
    <n v="9"/>
    <n v="7"/>
    <n v="5"/>
    <n v="4"/>
    <s v="50+"/>
  </r>
  <r>
    <n v="34"/>
    <x v="1"/>
    <s v="Travel_Frequently"/>
    <n v="135"/>
    <x v="1"/>
    <n v="19"/>
    <n v="3"/>
    <s v="Medical"/>
    <n v="1285"/>
    <n v="3"/>
    <s v="Female"/>
    <n v="46"/>
    <n v="3"/>
    <n v="2"/>
    <x v="2"/>
    <n v="2"/>
    <s v="Divorced"/>
    <n v="4444"/>
    <n v="22534"/>
    <n v="4"/>
    <x v="1"/>
    <n v="13"/>
    <n v="3"/>
    <n v="3"/>
    <n v="2"/>
    <n v="15"/>
    <n v="2"/>
    <n v="4"/>
    <n v="11"/>
    <n v="8"/>
    <n v="5"/>
    <n v="10"/>
    <s v="30-39"/>
  </r>
  <r>
    <n v="28"/>
    <x v="1"/>
    <s v="Travel_Frequently"/>
    <n v="791"/>
    <x v="1"/>
    <n v="1"/>
    <n v="4"/>
    <s v="Medical"/>
    <n v="1286"/>
    <n v="4"/>
    <s v="Male"/>
    <n v="44"/>
    <n v="3"/>
    <n v="1"/>
    <x v="2"/>
    <n v="3"/>
    <s v="Single"/>
    <n v="2154"/>
    <n v="6842"/>
    <n v="0"/>
    <x v="0"/>
    <n v="11"/>
    <n v="3"/>
    <n v="3"/>
    <n v="0"/>
    <n v="5"/>
    <n v="2"/>
    <n v="2"/>
    <n v="4"/>
    <n v="2"/>
    <n v="0"/>
    <n v="2"/>
    <s v="Below 30"/>
  </r>
  <r>
    <n v="44"/>
    <x v="1"/>
    <s v="Travel_Rarely"/>
    <n v="1199"/>
    <x v="1"/>
    <n v="4"/>
    <n v="2"/>
    <s v="Life Sciences"/>
    <n v="1288"/>
    <n v="3"/>
    <s v="Male"/>
    <n v="92"/>
    <n v="4"/>
    <n v="5"/>
    <x v="5"/>
    <n v="1"/>
    <s v="Divorced"/>
    <n v="19190"/>
    <n v="17477"/>
    <n v="1"/>
    <x v="1"/>
    <n v="14"/>
    <n v="3"/>
    <n v="4"/>
    <n v="2"/>
    <n v="26"/>
    <n v="4"/>
    <n v="2"/>
    <n v="25"/>
    <n v="9"/>
    <n v="14"/>
    <n v="13"/>
    <s v="40-49"/>
  </r>
  <r>
    <n v="34"/>
    <x v="1"/>
    <s v="Travel_Frequently"/>
    <n v="648"/>
    <x v="2"/>
    <n v="11"/>
    <n v="3"/>
    <s v="Life Sciences"/>
    <n v="1289"/>
    <n v="3"/>
    <s v="Male"/>
    <n v="56"/>
    <n v="2"/>
    <n v="2"/>
    <x v="8"/>
    <n v="2"/>
    <s v="Married"/>
    <n v="4490"/>
    <n v="21833"/>
    <n v="4"/>
    <x v="1"/>
    <n v="11"/>
    <n v="3"/>
    <n v="4"/>
    <n v="2"/>
    <n v="14"/>
    <n v="5"/>
    <n v="4"/>
    <n v="10"/>
    <n v="9"/>
    <n v="1"/>
    <n v="8"/>
    <s v="30-39"/>
  </r>
  <r>
    <n v="35"/>
    <x v="1"/>
    <s v="Travel_Rarely"/>
    <n v="735"/>
    <x v="1"/>
    <n v="6"/>
    <n v="1"/>
    <s v="Life Sciences"/>
    <n v="1291"/>
    <n v="3"/>
    <s v="Male"/>
    <n v="66"/>
    <n v="3"/>
    <n v="1"/>
    <x v="1"/>
    <n v="3"/>
    <s v="Married"/>
    <n v="3506"/>
    <n v="6020"/>
    <n v="0"/>
    <x v="0"/>
    <n v="14"/>
    <n v="3"/>
    <n v="4"/>
    <n v="0"/>
    <n v="4"/>
    <n v="3"/>
    <n v="3"/>
    <n v="3"/>
    <n v="2"/>
    <n v="2"/>
    <n v="2"/>
    <s v="30-39"/>
  </r>
  <r>
    <n v="42"/>
    <x v="1"/>
    <s v="Travel_Rarely"/>
    <n v="603"/>
    <x v="1"/>
    <n v="7"/>
    <n v="4"/>
    <s v="Medical"/>
    <n v="1292"/>
    <n v="2"/>
    <s v="Female"/>
    <n v="78"/>
    <n v="4"/>
    <n v="2"/>
    <x v="1"/>
    <n v="2"/>
    <s v="Married"/>
    <n v="2372"/>
    <n v="5628"/>
    <n v="6"/>
    <x v="0"/>
    <n v="16"/>
    <n v="3"/>
    <n v="4"/>
    <n v="0"/>
    <n v="18"/>
    <n v="2"/>
    <n v="3"/>
    <n v="1"/>
    <n v="0"/>
    <n v="0"/>
    <n v="0"/>
    <s v="40-49"/>
  </r>
  <r>
    <n v="43"/>
    <x v="1"/>
    <s v="Travel_Rarely"/>
    <n v="531"/>
    <x v="0"/>
    <n v="4"/>
    <n v="4"/>
    <s v="Marketing"/>
    <n v="1293"/>
    <n v="4"/>
    <s v="Female"/>
    <n v="56"/>
    <n v="2"/>
    <n v="3"/>
    <x v="0"/>
    <n v="4"/>
    <s v="Single"/>
    <n v="10231"/>
    <n v="20364"/>
    <n v="3"/>
    <x v="1"/>
    <n v="14"/>
    <n v="3"/>
    <n v="4"/>
    <n v="0"/>
    <n v="23"/>
    <n v="3"/>
    <n v="4"/>
    <n v="21"/>
    <n v="7"/>
    <n v="15"/>
    <n v="17"/>
    <s v="40-49"/>
  </r>
  <r>
    <n v="36"/>
    <x v="1"/>
    <s v="Travel_Rarely"/>
    <n v="429"/>
    <x v="1"/>
    <n v="2"/>
    <n v="4"/>
    <s v="Life Sciences"/>
    <n v="1294"/>
    <n v="3"/>
    <s v="Female"/>
    <n v="53"/>
    <n v="3"/>
    <n v="2"/>
    <x v="3"/>
    <n v="2"/>
    <s v="Single"/>
    <n v="5410"/>
    <n v="2323"/>
    <n v="9"/>
    <x v="0"/>
    <n v="11"/>
    <n v="3"/>
    <n v="4"/>
    <n v="0"/>
    <n v="18"/>
    <n v="2"/>
    <n v="3"/>
    <n v="16"/>
    <n v="14"/>
    <n v="5"/>
    <n v="12"/>
    <s v="30-39"/>
  </r>
  <r>
    <n v="44"/>
    <x v="0"/>
    <s v="Travel_Rarely"/>
    <n v="621"/>
    <x v="1"/>
    <n v="15"/>
    <n v="3"/>
    <s v="Medical"/>
    <n v="1295"/>
    <n v="1"/>
    <s v="Female"/>
    <n v="73"/>
    <n v="3"/>
    <n v="3"/>
    <x v="4"/>
    <n v="4"/>
    <s v="Married"/>
    <n v="7978"/>
    <n v="14075"/>
    <n v="1"/>
    <x v="1"/>
    <n v="11"/>
    <n v="3"/>
    <n v="4"/>
    <n v="1"/>
    <n v="10"/>
    <n v="2"/>
    <n v="3"/>
    <n v="10"/>
    <n v="7"/>
    <n v="0"/>
    <n v="5"/>
    <s v="40-49"/>
  </r>
  <r>
    <n v="28"/>
    <x v="1"/>
    <s v="Travel_Frequently"/>
    <n v="193"/>
    <x v="1"/>
    <n v="2"/>
    <n v="3"/>
    <s v="Life Sciences"/>
    <n v="1296"/>
    <n v="4"/>
    <s v="Male"/>
    <n v="52"/>
    <n v="2"/>
    <n v="1"/>
    <x v="2"/>
    <n v="4"/>
    <s v="Married"/>
    <n v="3867"/>
    <n v="14222"/>
    <n v="1"/>
    <x v="0"/>
    <n v="12"/>
    <n v="3"/>
    <n v="2"/>
    <n v="1"/>
    <n v="2"/>
    <n v="2"/>
    <n v="3"/>
    <n v="2"/>
    <n v="2"/>
    <n v="2"/>
    <n v="2"/>
    <s v="Below 30"/>
  </r>
  <r>
    <n v="51"/>
    <x v="1"/>
    <s v="Travel_Frequently"/>
    <n v="968"/>
    <x v="1"/>
    <n v="6"/>
    <n v="2"/>
    <s v="Medical"/>
    <n v="1297"/>
    <n v="2"/>
    <s v="Female"/>
    <n v="40"/>
    <n v="2"/>
    <n v="1"/>
    <x v="2"/>
    <n v="3"/>
    <s v="Single"/>
    <n v="2838"/>
    <n v="4257"/>
    <n v="0"/>
    <x v="1"/>
    <n v="14"/>
    <n v="3"/>
    <n v="2"/>
    <n v="0"/>
    <n v="8"/>
    <n v="6"/>
    <n v="2"/>
    <n v="7"/>
    <n v="0"/>
    <n v="7"/>
    <n v="7"/>
    <s v="50+"/>
  </r>
  <r>
    <n v="30"/>
    <x v="1"/>
    <s v="Non-Travel"/>
    <n v="879"/>
    <x v="1"/>
    <n v="9"/>
    <n v="2"/>
    <s v="Medical"/>
    <n v="1298"/>
    <n v="3"/>
    <s v="Female"/>
    <n v="72"/>
    <n v="3"/>
    <n v="2"/>
    <x v="3"/>
    <n v="3"/>
    <s v="Single"/>
    <n v="4695"/>
    <n v="12858"/>
    <n v="7"/>
    <x v="0"/>
    <n v="18"/>
    <n v="3"/>
    <n v="3"/>
    <n v="0"/>
    <n v="10"/>
    <n v="3"/>
    <n v="3"/>
    <n v="8"/>
    <n v="4"/>
    <n v="1"/>
    <n v="7"/>
    <s v="30-39"/>
  </r>
  <r>
    <n v="29"/>
    <x v="0"/>
    <s v="Travel_Rarely"/>
    <n v="806"/>
    <x v="1"/>
    <n v="7"/>
    <n v="3"/>
    <s v="Technical Degree"/>
    <n v="1299"/>
    <n v="2"/>
    <s v="Female"/>
    <n v="39"/>
    <n v="3"/>
    <n v="1"/>
    <x v="2"/>
    <n v="3"/>
    <s v="Divorced"/>
    <n v="3339"/>
    <n v="17285"/>
    <n v="3"/>
    <x v="0"/>
    <n v="13"/>
    <n v="3"/>
    <n v="1"/>
    <n v="2"/>
    <n v="10"/>
    <n v="2"/>
    <n v="3"/>
    <n v="7"/>
    <n v="7"/>
    <n v="7"/>
    <n v="7"/>
    <s v="Below 30"/>
  </r>
  <r>
    <n v="28"/>
    <x v="1"/>
    <s v="Travel_Rarely"/>
    <n v="640"/>
    <x v="1"/>
    <n v="1"/>
    <n v="3"/>
    <s v="Technical Degree"/>
    <n v="1301"/>
    <n v="4"/>
    <s v="Male"/>
    <n v="84"/>
    <n v="3"/>
    <n v="1"/>
    <x v="1"/>
    <n v="1"/>
    <s v="Single"/>
    <n v="2080"/>
    <n v="4732"/>
    <n v="2"/>
    <x v="1"/>
    <n v="11"/>
    <n v="3"/>
    <n v="2"/>
    <n v="0"/>
    <n v="5"/>
    <n v="2"/>
    <n v="2"/>
    <n v="3"/>
    <n v="2"/>
    <n v="1"/>
    <n v="2"/>
    <s v="Below 30"/>
  </r>
  <r>
    <n v="25"/>
    <x v="1"/>
    <s v="Travel_Rarely"/>
    <n v="266"/>
    <x v="1"/>
    <n v="1"/>
    <n v="3"/>
    <s v="Medical"/>
    <n v="1303"/>
    <n v="4"/>
    <s v="Female"/>
    <n v="40"/>
    <n v="3"/>
    <n v="1"/>
    <x v="1"/>
    <n v="2"/>
    <s v="Single"/>
    <n v="2096"/>
    <n v="18830"/>
    <n v="1"/>
    <x v="1"/>
    <n v="18"/>
    <n v="3"/>
    <n v="4"/>
    <n v="0"/>
    <n v="2"/>
    <n v="3"/>
    <n v="2"/>
    <n v="2"/>
    <n v="2"/>
    <n v="2"/>
    <n v="1"/>
    <s v="Below 30"/>
  </r>
  <r>
    <n v="32"/>
    <x v="1"/>
    <s v="Travel_Rarely"/>
    <n v="604"/>
    <x v="0"/>
    <n v="8"/>
    <n v="3"/>
    <s v="Medical"/>
    <n v="1304"/>
    <n v="3"/>
    <s v="Male"/>
    <n v="56"/>
    <n v="4"/>
    <n v="2"/>
    <x v="0"/>
    <n v="4"/>
    <s v="Married"/>
    <n v="6209"/>
    <n v="11693"/>
    <n v="1"/>
    <x v="1"/>
    <n v="15"/>
    <n v="3"/>
    <n v="3"/>
    <n v="2"/>
    <n v="10"/>
    <n v="4"/>
    <n v="4"/>
    <n v="10"/>
    <n v="7"/>
    <n v="0"/>
    <n v="8"/>
    <s v="30-39"/>
  </r>
  <r>
    <n v="45"/>
    <x v="1"/>
    <s v="Travel_Frequently"/>
    <n v="364"/>
    <x v="1"/>
    <n v="25"/>
    <n v="3"/>
    <s v="Medical"/>
    <n v="1306"/>
    <n v="2"/>
    <s v="Female"/>
    <n v="83"/>
    <n v="3"/>
    <n v="5"/>
    <x v="5"/>
    <n v="2"/>
    <s v="Single"/>
    <n v="18061"/>
    <n v="13035"/>
    <n v="3"/>
    <x v="1"/>
    <n v="22"/>
    <n v="4"/>
    <n v="3"/>
    <n v="0"/>
    <n v="22"/>
    <n v="4"/>
    <n v="3"/>
    <n v="0"/>
    <n v="0"/>
    <n v="0"/>
    <n v="0"/>
    <s v="40-49"/>
  </r>
  <r>
    <n v="39"/>
    <x v="1"/>
    <s v="Travel_Rarely"/>
    <n v="412"/>
    <x v="1"/>
    <n v="13"/>
    <n v="4"/>
    <s v="Medical"/>
    <n v="1307"/>
    <n v="3"/>
    <s v="Female"/>
    <n v="94"/>
    <n v="2"/>
    <n v="4"/>
    <x v="5"/>
    <n v="2"/>
    <s v="Divorced"/>
    <n v="17123"/>
    <n v="17334"/>
    <n v="6"/>
    <x v="0"/>
    <n v="13"/>
    <n v="3"/>
    <n v="4"/>
    <n v="2"/>
    <n v="21"/>
    <n v="4"/>
    <n v="3"/>
    <n v="19"/>
    <n v="9"/>
    <n v="15"/>
    <n v="2"/>
    <s v="30-39"/>
  </r>
  <r>
    <n v="58"/>
    <x v="1"/>
    <s v="Travel_Rarely"/>
    <n v="848"/>
    <x v="1"/>
    <n v="23"/>
    <n v="4"/>
    <s v="Life Sciences"/>
    <n v="1308"/>
    <n v="1"/>
    <s v="Male"/>
    <n v="88"/>
    <n v="3"/>
    <n v="1"/>
    <x v="1"/>
    <n v="3"/>
    <s v="Divorced"/>
    <n v="2372"/>
    <n v="26076"/>
    <n v="1"/>
    <x v="1"/>
    <n v="12"/>
    <n v="3"/>
    <n v="4"/>
    <n v="2"/>
    <n v="2"/>
    <n v="3"/>
    <n v="3"/>
    <n v="2"/>
    <n v="2"/>
    <n v="2"/>
    <n v="2"/>
    <s v="50+"/>
  </r>
  <r>
    <n v="32"/>
    <x v="0"/>
    <s v="Travel_Rarely"/>
    <n v="1089"/>
    <x v="1"/>
    <n v="7"/>
    <n v="2"/>
    <s v="Life Sciences"/>
    <n v="1309"/>
    <n v="4"/>
    <s v="Male"/>
    <n v="79"/>
    <n v="3"/>
    <n v="2"/>
    <x v="2"/>
    <n v="3"/>
    <s v="Married"/>
    <n v="4883"/>
    <n v="22845"/>
    <n v="1"/>
    <x v="1"/>
    <n v="18"/>
    <n v="3"/>
    <n v="1"/>
    <n v="1"/>
    <n v="10"/>
    <n v="3"/>
    <n v="3"/>
    <n v="10"/>
    <n v="4"/>
    <n v="1"/>
    <n v="1"/>
    <s v="30-39"/>
  </r>
  <r>
    <n v="39"/>
    <x v="0"/>
    <s v="Travel_Rarely"/>
    <n v="360"/>
    <x v="1"/>
    <n v="23"/>
    <n v="3"/>
    <s v="Medical"/>
    <n v="1310"/>
    <n v="3"/>
    <s v="Male"/>
    <n v="93"/>
    <n v="3"/>
    <n v="1"/>
    <x v="1"/>
    <n v="1"/>
    <s v="Single"/>
    <n v="3904"/>
    <n v="22154"/>
    <n v="0"/>
    <x v="1"/>
    <n v="13"/>
    <n v="3"/>
    <n v="1"/>
    <n v="0"/>
    <n v="6"/>
    <n v="2"/>
    <n v="3"/>
    <n v="5"/>
    <n v="2"/>
    <n v="0"/>
    <n v="3"/>
    <s v="30-39"/>
  </r>
  <r>
    <n v="30"/>
    <x v="1"/>
    <s v="Travel_Rarely"/>
    <n v="1138"/>
    <x v="1"/>
    <n v="6"/>
    <n v="3"/>
    <s v="Technical Degree"/>
    <n v="1311"/>
    <n v="1"/>
    <s v="Female"/>
    <n v="48"/>
    <n v="2"/>
    <n v="2"/>
    <x v="2"/>
    <n v="4"/>
    <s v="Married"/>
    <n v="4627"/>
    <n v="23631"/>
    <n v="0"/>
    <x v="1"/>
    <n v="12"/>
    <n v="3"/>
    <n v="1"/>
    <n v="1"/>
    <n v="10"/>
    <n v="6"/>
    <n v="3"/>
    <n v="9"/>
    <n v="2"/>
    <n v="6"/>
    <n v="7"/>
    <s v="30-39"/>
  </r>
  <r>
    <n v="36"/>
    <x v="1"/>
    <s v="Travel_Rarely"/>
    <n v="325"/>
    <x v="1"/>
    <n v="10"/>
    <n v="4"/>
    <s v="Technical Degree"/>
    <n v="1312"/>
    <n v="4"/>
    <s v="Female"/>
    <n v="63"/>
    <n v="3"/>
    <n v="3"/>
    <x v="4"/>
    <n v="3"/>
    <s v="Married"/>
    <n v="7094"/>
    <n v="5747"/>
    <n v="3"/>
    <x v="1"/>
    <n v="12"/>
    <n v="3"/>
    <n v="1"/>
    <n v="0"/>
    <n v="10"/>
    <n v="0"/>
    <n v="3"/>
    <n v="7"/>
    <n v="7"/>
    <n v="1"/>
    <n v="7"/>
    <s v="30-39"/>
  </r>
  <r>
    <n v="46"/>
    <x v="1"/>
    <s v="Travel_Rarely"/>
    <n v="991"/>
    <x v="2"/>
    <n v="1"/>
    <n v="2"/>
    <s v="Life Sciences"/>
    <n v="1314"/>
    <n v="4"/>
    <s v="Female"/>
    <n v="44"/>
    <n v="3"/>
    <n v="1"/>
    <x v="8"/>
    <n v="1"/>
    <s v="Single"/>
    <n v="3423"/>
    <n v="22957"/>
    <n v="6"/>
    <x v="1"/>
    <n v="12"/>
    <n v="3"/>
    <n v="3"/>
    <n v="0"/>
    <n v="10"/>
    <n v="3"/>
    <n v="4"/>
    <n v="7"/>
    <n v="6"/>
    <n v="5"/>
    <n v="7"/>
    <s v="40-49"/>
  </r>
  <r>
    <n v="28"/>
    <x v="1"/>
    <s v="Non-Travel"/>
    <n v="1476"/>
    <x v="1"/>
    <n v="1"/>
    <n v="3"/>
    <s v="Life Sciences"/>
    <n v="1315"/>
    <n v="3"/>
    <s v="Female"/>
    <n v="55"/>
    <n v="1"/>
    <n v="2"/>
    <x v="2"/>
    <n v="4"/>
    <s v="Married"/>
    <n v="6674"/>
    <n v="16392"/>
    <n v="0"/>
    <x v="1"/>
    <n v="11"/>
    <n v="3"/>
    <n v="1"/>
    <n v="3"/>
    <n v="10"/>
    <n v="6"/>
    <n v="3"/>
    <n v="9"/>
    <n v="8"/>
    <n v="7"/>
    <n v="5"/>
    <s v="Below 30"/>
  </r>
  <r>
    <n v="50"/>
    <x v="1"/>
    <s v="Travel_Rarely"/>
    <n v="1322"/>
    <x v="1"/>
    <n v="28"/>
    <n v="3"/>
    <s v="Life Sciences"/>
    <n v="1317"/>
    <n v="4"/>
    <s v="Female"/>
    <n v="43"/>
    <n v="3"/>
    <n v="4"/>
    <x v="7"/>
    <n v="1"/>
    <s v="Married"/>
    <n v="16880"/>
    <n v="22422"/>
    <n v="4"/>
    <x v="0"/>
    <n v="11"/>
    <n v="3"/>
    <n v="2"/>
    <n v="0"/>
    <n v="25"/>
    <n v="2"/>
    <n v="3"/>
    <n v="3"/>
    <n v="2"/>
    <n v="1"/>
    <n v="2"/>
    <s v="50+"/>
  </r>
  <r>
    <n v="40"/>
    <x v="0"/>
    <s v="Travel_Rarely"/>
    <n v="299"/>
    <x v="0"/>
    <n v="25"/>
    <n v="4"/>
    <s v="Marketing"/>
    <n v="1318"/>
    <n v="4"/>
    <s v="Male"/>
    <n v="57"/>
    <n v="2"/>
    <n v="3"/>
    <x v="0"/>
    <n v="2"/>
    <s v="Single"/>
    <n v="9094"/>
    <n v="17235"/>
    <n v="2"/>
    <x v="0"/>
    <n v="12"/>
    <n v="3"/>
    <n v="3"/>
    <n v="0"/>
    <n v="9"/>
    <n v="2"/>
    <n v="3"/>
    <n v="5"/>
    <n v="4"/>
    <n v="1"/>
    <n v="0"/>
    <s v="40-49"/>
  </r>
  <r>
    <n v="52"/>
    <x v="0"/>
    <s v="Travel_Rarely"/>
    <n v="1030"/>
    <x v="0"/>
    <n v="5"/>
    <n v="3"/>
    <s v="Life Sciences"/>
    <n v="1319"/>
    <n v="2"/>
    <s v="Male"/>
    <n v="64"/>
    <n v="3"/>
    <n v="3"/>
    <x v="0"/>
    <n v="2"/>
    <s v="Single"/>
    <n v="8446"/>
    <n v="21534"/>
    <n v="9"/>
    <x v="0"/>
    <n v="19"/>
    <n v="3"/>
    <n v="3"/>
    <n v="0"/>
    <n v="10"/>
    <n v="2"/>
    <n v="2"/>
    <n v="8"/>
    <n v="7"/>
    <n v="7"/>
    <n v="7"/>
    <s v="50+"/>
  </r>
  <r>
    <n v="30"/>
    <x v="1"/>
    <s v="Travel_Rarely"/>
    <n v="634"/>
    <x v="1"/>
    <n v="17"/>
    <n v="4"/>
    <s v="Medical"/>
    <n v="1321"/>
    <n v="2"/>
    <s v="Female"/>
    <n v="95"/>
    <n v="3"/>
    <n v="3"/>
    <x v="5"/>
    <n v="1"/>
    <s v="Married"/>
    <n v="11916"/>
    <n v="25927"/>
    <n v="1"/>
    <x v="0"/>
    <n v="23"/>
    <n v="4"/>
    <n v="4"/>
    <n v="2"/>
    <n v="9"/>
    <n v="2"/>
    <n v="3"/>
    <n v="9"/>
    <n v="1"/>
    <n v="0"/>
    <n v="8"/>
    <s v="30-39"/>
  </r>
  <r>
    <n v="39"/>
    <x v="1"/>
    <s v="Travel_Rarely"/>
    <n v="524"/>
    <x v="1"/>
    <n v="18"/>
    <n v="2"/>
    <s v="Life Sciences"/>
    <n v="1322"/>
    <n v="1"/>
    <s v="Male"/>
    <n v="32"/>
    <n v="3"/>
    <n v="2"/>
    <x v="3"/>
    <n v="3"/>
    <s v="Single"/>
    <n v="4534"/>
    <n v="13352"/>
    <n v="0"/>
    <x v="1"/>
    <n v="11"/>
    <n v="3"/>
    <n v="1"/>
    <n v="0"/>
    <n v="9"/>
    <n v="6"/>
    <n v="3"/>
    <n v="8"/>
    <n v="7"/>
    <n v="1"/>
    <n v="7"/>
    <s v="30-39"/>
  </r>
  <r>
    <n v="31"/>
    <x v="1"/>
    <s v="Non-Travel"/>
    <n v="587"/>
    <x v="0"/>
    <n v="2"/>
    <n v="4"/>
    <s v="Life Sciences"/>
    <n v="1324"/>
    <n v="4"/>
    <s v="Female"/>
    <n v="57"/>
    <n v="3"/>
    <n v="3"/>
    <x v="0"/>
    <n v="3"/>
    <s v="Divorced"/>
    <n v="9852"/>
    <n v="8935"/>
    <n v="1"/>
    <x v="0"/>
    <n v="19"/>
    <n v="3"/>
    <n v="1"/>
    <n v="1"/>
    <n v="10"/>
    <n v="5"/>
    <n v="2"/>
    <n v="10"/>
    <n v="8"/>
    <n v="9"/>
    <n v="6"/>
    <s v="30-39"/>
  </r>
  <r>
    <n v="41"/>
    <x v="1"/>
    <s v="Non-Travel"/>
    <n v="256"/>
    <x v="0"/>
    <n v="10"/>
    <n v="2"/>
    <s v="Medical"/>
    <n v="1329"/>
    <n v="3"/>
    <s v="Male"/>
    <n v="40"/>
    <n v="1"/>
    <n v="2"/>
    <x v="0"/>
    <n v="2"/>
    <s v="Single"/>
    <n v="6151"/>
    <n v="22074"/>
    <n v="1"/>
    <x v="1"/>
    <n v="13"/>
    <n v="3"/>
    <n v="1"/>
    <n v="0"/>
    <n v="19"/>
    <n v="4"/>
    <n v="3"/>
    <n v="19"/>
    <n v="2"/>
    <n v="11"/>
    <n v="9"/>
    <s v="40-49"/>
  </r>
  <r>
    <n v="31"/>
    <x v="0"/>
    <s v="Travel_Frequently"/>
    <n v="1060"/>
    <x v="0"/>
    <n v="1"/>
    <n v="3"/>
    <s v="Life Sciences"/>
    <n v="1331"/>
    <n v="4"/>
    <s v="Female"/>
    <n v="54"/>
    <n v="3"/>
    <n v="1"/>
    <x v="6"/>
    <n v="2"/>
    <s v="Single"/>
    <n v="2302"/>
    <n v="8319"/>
    <n v="1"/>
    <x v="0"/>
    <n v="11"/>
    <n v="3"/>
    <n v="1"/>
    <n v="0"/>
    <n v="3"/>
    <n v="2"/>
    <n v="4"/>
    <n v="3"/>
    <n v="2"/>
    <n v="2"/>
    <n v="2"/>
    <s v="30-39"/>
  </r>
  <r>
    <n v="44"/>
    <x v="0"/>
    <s v="Travel_Rarely"/>
    <n v="935"/>
    <x v="1"/>
    <n v="3"/>
    <n v="3"/>
    <s v="Life Sciences"/>
    <n v="1333"/>
    <n v="1"/>
    <s v="Male"/>
    <n v="89"/>
    <n v="3"/>
    <n v="1"/>
    <x v="2"/>
    <n v="1"/>
    <s v="Married"/>
    <n v="2362"/>
    <n v="14669"/>
    <n v="4"/>
    <x v="1"/>
    <n v="12"/>
    <n v="3"/>
    <n v="3"/>
    <n v="0"/>
    <n v="10"/>
    <n v="4"/>
    <n v="4"/>
    <n v="3"/>
    <n v="2"/>
    <n v="1"/>
    <n v="2"/>
    <s v="40-49"/>
  </r>
  <r>
    <n v="42"/>
    <x v="1"/>
    <s v="Non-Travel"/>
    <n v="495"/>
    <x v="1"/>
    <n v="2"/>
    <n v="1"/>
    <s v="Life Sciences"/>
    <n v="1334"/>
    <n v="3"/>
    <s v="Male"/>
    <n v="37"/>
    <n v="3"/>
    <n v="4"/>
    <x v="5"/>
    <n v="3"/>
    <s v="Married"/>
    <n v="17861"/>
    <n v="26582"/>
    <n v="0"/>
    <x v="0"/>
    <n v="13"/>
    <n v="3"/>
    <n v="4"/>
    <n v="0"/>
    <n v="21"/>
    <n v="3"/>
    <n v="2"/>
    <n v="20"/>
    <n v="8"/>
    <n v="2"/>
    <n v="10"/>
    <s v="40-49"/>
  </r>
  <r>
    <n v="55"/>
    <x v="1"/>
    <s v="Travel_Rarely"/>
    <n v="282"/>
    <x v="1"/>
    <n v="2"/>
    <n v="2"/>
    <s v="Medical"/>
    <n v="1336"/>
    <n v="4"/>
    <s v="Female"/>
    <n v="58"/>
    <n v="1"/>
    <n v="5"/>
    <x v="5"/>
    <n v="3"/>
    <s v="Married"/>
    <n v="19187"/>
    <n v="6992"/>
    <n v="4"/>
    <x v="1"/>
    <n v="14"/>
    <n v="3"/>
    <n v="4"/>
    <n v="1"/>
    <n v="23"/>
    <n v="5"/>
    <n v="3"/>
    <n v="19"/>
    <n v="9"/>
    <n v="9"/>
    <n v="11"/>
    <s v="50+"/>
  </r>
  <r>
    <n v="56"/>
    <x v="1"/>
    <s v="Travel_Rarely"/>
    <n v="206"/>
    <x v="2"/>
    <n v="8"/>
    <n v="4"/>
    <s v="Life Sciences"/>
    <n v="1338"/>
    <n v="4"/>
    <s v="Male"/>
    <n v="99"/>
    <n v="3"/>
    <n v="5"/>
    <x v="5"/>
    <n v="2"/>
    <s v="Single"/>
    <n v="19717"/>
    <n v="4022"/>
    <n v="6"/>
    <x v="1"/>
    <n v="14"/>
    <n v="3"/>
    <n v="1"/>
    <n v="0"/>
    <n v="36"/>
    <n v="4"/>
    <n v="3"/>
    <n v="7"/>
    <n v="3"/>
    <n v="7"/>
    <n v="7"/>
    <s v="50+"/>
  </r>
  <r>
    <n v="40"/>
    <x v="1"/>
    <s v="Non-Travel"/>
    <n v="458"/>
    <x v="1"/>
    <n v="16"/>
    <n v="2"/>
    <s v="Life Sciences"/>
    <n v="1340"/>
    <n v="3"/>
    <s v="Male"/>
    <n v="74"/>
    <n v="3"/>
    <n v="1"/>
    <x v="1"/>
    <n v="3"/>
    <s v="Divorced"/>
    <n v="3544"/>
    <n v="8532"/>
    <n v="9"/>
    <x v="1"/>
    <n v="16"/>
    <n v="3"/>
    <n v="2"/>
    <n v="1"/>
    <n v="6"/>
    <n v="0"/>
    <n v="3"/>
    <n v="4"/>
    <n v="2"/>
    <n v="0"/>
    <n v="0"/>
    <s v="40-49"/>
  </r>
  <r>
    <n v="34"/>
    <x v="1"/>
    <s v="Travel_Rarely"/>
    <n v="943"/>
    <x v="1"/>
    <n v="9"/>
    <n v="3"/>
    <s v="Life Sciences"/>
    <n v="1344"/>
    <n v="4"/>
    <s v="Male"/>
    <n v="86"/>
    <n v="3"/>
    <n v="3"/>
    <x v="4"/>
    <n v="4"/>
    <s v="Divorced"/>
    <n v="8500"/>
    <n v="5494"/>
    <n v="0"/>
    <x v="1"/>
    <n v="11"/>
    <n v="3"/>
    <n v="4"/>
    <n v="1"/>
    <n v="10"/>
    <n v="0"/>
    <n v="2"/>
    <n v="9"/>
    <n v="7"/>
    <n v="1"/>
    <n v="6"/>
    <s v="30-39"/>
  </r>
  <r>
    <n v="40"/>
    <x v="1"/>
    <s v="Travel_Rarely"/>
    <n v="523"/>
    <x v="1"/>
    <n v="2"/>
    <n v="3"/>
    <s v="Life Sciences"/>
    <n v="1346"/>
    <n v="3"/>
    <s v="Male"/>
    <n v="98"/>
    <n v="3"/>
    <n v="2"/>
    <x v="1"/>
    <n v="4"/>
    <s v="Single"/>
    <n v="4661"/>
    <n v="22455"/>
    <n v="1"/>
    <x v="1"/>
    <n v="13"/>
    <n v="3"/>
    <n v="3"/>
    <n v="0"/>
    <n v="9"/>
    <n v="4"/>
    <n v="3"/>
    <n v="9"/>
    <n v="8"/>
    <n v="8"/>
    <n v="8"/>
    <s v="40-49"/>
  </r>
  <r>
    <n v="41"/>
    <x v="1"/>
    <s v="Travel_Frequently"/>
    <n v="1018"/>
    <x v="0"/>
    <n v="1"/>
    <n v="3"/>
    <s v="Marketing"/>
    <n v="1349"/>
    <n v="3"/>
    <s v="Female"/>
    <n v="66"/>
    <n v="3"/>
    <n v="2"/>
    <x v="0"/>
    <n v="1"/>
    <s v="Divorced"/>
    <n v="4103"/>
    <n v="4297"/>
    <n v="0"/>
    <x v="1"/>
    <n v="17"/>
    <n v="3"/>
    <n v="4"/>
    <n v="1"/>
    <n v="10"/>
    <n v="2"/>
    <n v="3"/>
    <n v="9"/>
    <n v="3"/>
    <n v="1"/>
    <n v="7"/>
    <s v="40-49"/>
  </r>
  <r>
    <n v="35"/>
    <x v="1"/>
    <s v="Travel_Frequently"/>
    <n v="482"/>
    <x v="1"/>
    <n v="4"/>
    <n v="4"/>
    <s v="Life Sciences"/>
    <n v="1350"/>
    <n v="3"/>
    <s v="Male"/>
    <n v="87"/>
    <n v="3"/>
    <n v="2"/>
    <x v="1"/>
    <n v="3"/>
    <s v="Single"/>
    <n v="4249"/>
    <n v="2690"/>
    <n v="1"/>
    <x v="0"/>
    <n v="11"/>
    <n v="3"/>
    <n v="2"/>
    <n v="0"/>
    <n v="9"/>
    <n v="3"/>
    <n v="3"/>
    <n v="9"/>
    <n v="6"/>
    <n v="1"/>
    <n v="1"/>
    <s v="30-39"/>
  </r>
  <r>
    <n v="51"/>
    <x v="1"/>
    <s v="Travel_Rarely"/>
    <n v="770"/>
    <x v="2"/>
    <n v="5"/>
    <n v="3"/>
    <s v="Life Sciences"/>
    <n v="1352"/>
    <n v="3"/>
    <s v="Male"/>
    <n v="84"/>
    <n v="3"/>
    <n v="4"/>
    <x v="5"/>
    <n v="2"/>
    <s v="Divorced"/>
    <n v="14026"/>
    <n v="17588"/>
    <n v="1"/>
    <x v="0"/>
    <n v="11"/>
    <n v="3"/>
    <n v="2"/>
    <n v="1"/>
    <n v="33"/>
    <n v="2"/>
    <n v="3"/>
    <n v="33"/>
    <n v="9"/>
    <n v="0"/>
    <n v="10"/>
    <s v="50+"/>
  </r>
  <r>
    <n v="38"/>
    <x v="1"/>
    <s v="Travel_Rarely"/>
    <n v="1009"/>
    <x v="0"/>
    <n v="2"/>
    <n v="2"/>
    <s v="Life Sciences"/>
    <n v="1355"/>
    <n v="2"/>
    <s v="Female"/>
    <n v="31"/>
    <n v="3"/>
    <n v="2"/>
    <x v="0"/>
    <n v="1"/>
    <s v="Divorced"/>
    <n v="6893"/>
    <n v="19461"/>
    <n v="3"/>
    <x v="1"/>
    <n v="15"/>
    <n v="3"/>
    <n v="4"/>
    <n v="1"/>
    <n v="11"/>
    <n v="3"/>
    <n v="3"/>
    <n v="7"/>
    <n v="7"/>
    <n v="1"/>
    <n v="7"/>
    <s v="30-39"/>
  </r>
  <r>
    <n v="34"/>
    <x v="1"/>
    <s v="Travel_Rarely"/>
    <n v="507"/>
    <x v="0"/>
    <n v="15"/>
    <n v="2"/>
    <s v="Medical"/>
    <n v="1356"/>
    <n v="3"/>
    <s v="Female"/>
    <n v="66"/>
    <n v="3"/>
    <n v="2"/>
    <x v="0"/>
    <n v="1"/>
    <s v="Single"/>
    <n v="6125"/>
    <n v="23553"/>
    <n v="1"/>
    <x v="1"/>
    <n v="12"/>
    <n v="3"/>
    <n v="4"/>
    <n v="0"/>
    <n v="10"/>
    <n v="6"/>
    <n v="4"/>
    <n v="10"/>
    <n v="8"/>
    <n v="9"/>
    <n v="6"/>
    <s v="30-39"/>
  </r>
  <r>
    <n v="25"/>
    <x v="1"/>
    <s v="Travel_Rarely"/>
    <n v="882"/>
    <x v="1"/>
    <n v="19"/>
    <n v="1"/>
    <s v="Medical"/>
    <n v="1358"/>
    <n v="4"/>
    <s v="Male"/>
    <n v="67"/>
    <n v="3"/>
    <n v="1"/>
    <x v="2"/>
    <n v="4"/>
    <s v="Married"/>
    <n v="3669"/>
    <n v="9075"/>
    <n v="3"/>
    <x v="1"/>
    <n v="11"/>
    <n v="3"/>
    <n v="3"/>
    <n v="3"/>
    <n v="7"/>
    <n v="6"/>
    <n v="2"/>
    <n v="3"/>
    <n v="2"/>
    <n v="1"/>
    <n v="2"/>
    <s v="Below 30"/>
  </r>
  <r>
    <n v="58"/>
    <x v="0"/>
    <s v="Travel_Rarely"/>
    <n v="601"/>
    <x v="1"/>
    <n v="7"/>
    <n v="4"/>
    <s v="Medical"/>
    <n v="1360"/>
    <n v="3"/>
    <s v="Female"/>
    <n v="53"/>
    <n v="2"/>
    <n v="3"/>
    <x v="3"/>
    <n v="1"/>
    <s v="Married"/>
    <n v="10008"/>
    <n v="12023"/>
    <n v="7"/>
    <x v="0"/>
    <n v="14"/>
    <n v="3"/>
    <n v="4"/>
    <n v="0"/>
    <n v="31"/>
    <n v="0"/>
    <n v="2"/>
    <n v="10"/>
    <n v="9"/>
    <n v="5"/>
    <n v="9"/>
    <s v="50+"/>
  </r>
  <r>
    <n v="40"/>
    <x v="1"/>
    <s v="Travel_Rarely"/>
    <n v="329"/>
    <x v="1"/>
    <n v="1"/>
    <n v="4"/>
    <s v="Life Sciences"/>
    <n v="1361"/>
    <n v="2"/>
    <s v="Male"/>
    <n v="88"/>
    <n v="3"/>
    <n v="1"/>
    <x v="2"/>
    <n v="2"/>
    <s v="Married"/>
    <n v="2387"/>
    <n v="6762"/>
    <n v="3"/>
    <x v="1"/>
    <n v="22"/>
    <n v="4"/>
    <n v="3"/>
    <n v="1"/>
    <n v="7"/>
    <n v="3"/>
    <n v="3"/>
    <n v="4"/>
    <n v="2"/>
    <n v="0"/>
    <n v="3"/>
    <s v="40-49"/>
  </r>
  <r>
    <n v="36"/>
    <x v="1"/>
    <s v="Travel_Frequently"/>
    <n v="607"/>
    <x v="0"/>
    <n v="7"/>
    <n v="3"/>
    <s v="Marketing"/>
    <n v="1362"/>
    <n v="1"/>
    <s v="Female"/>
    <n v="83"/>
    <n v="4"/>
    <n v="2"/>
    <x v="0"/>
    <n v="1"/>
    <s v="Married"/>
    <n v="4639"/>
    <n v="2261"/>
    <n v="2"/>
    <x v="1"/>
    <n v="16"/>
    <n v="3"/>
    <n v="4"/>
    <n v="1"/>
    <n v="17"/>
    <n v="2"/>
    <n v="2"/>
    <n v="15"/>
    <n v="7"/>
    <n v="6"/>
    <n v="13"/>
    <s v="30-39"/>
  </r>
  <r>
    <n v="48"/>
    <x v="1"/>
    <s v="Travel_Rarely"/>
    <n v="855"/>
    <x v="1"/>
    <n v="4"/>
    <n v="3"/>
    <s v="Life Sciences"/>
    <n v="1363"/>
    <n v="4"/>
    <s v="Male"/>
    <n v="54"/>
    <n v="3"/>
    <n v="3"/>
    <x v="3"/>
    <n v="4"/>
    <s v="Single"/>
    <n v="7898"/>
    <n v="18706"/>
    <n v="1"/>
    <x v="1"/>
    <n v="11"/>
    <n v="3"/>
    <n v="3"/>
    <n v="0"/>
    <n v="11"/>
    <n v="2"/>
    <n v="3"/>
    <n v="10"/>
    <n v="9"/>
    <n v="0"/>
    <n v="8"/>
    <s v="40-49"/>
  </r>
  <r>
    <n v="27"/>
    <x v="1"/>
    <s v="Travel_Rarely"/>
    <n v="1291"/>
    <x v="0"/>
    <n v="11"/>
    <n v="3"/>
    <s v="Medical"/>
    <n v="1364"/>
    <n v="3"/>
    <s v="Female"/>
    <n v="98"/>
    <n v="4"/>
    <n v="1"/>
    <x v="6"/>
    <n v="4"/>
    <s v="Married"/>
    <n v="2534"/>
    <n v="6527"/>
    <n v="8"/>
    <x v="1"/>
    <n v="14"/>
    <n v="3"/>
    <n v="2"/>
    <n v="1"/>
    <n v="5"/>
    <n v="4"/>
    <n v="3"/>
    <n v="1"/>
    <n v="0"/>
    <n v="0"/>
    <n v="0"/>
    <s v="Below 30"/>
  </r>
  <r>
    <n v="51"/>
    <x v="1"/>
    <s v="Travel_Rarely"/>
    <n v="1405"/>
    <x v="1"/>
    <n v="11"/>
    <n v="2"/>
    <s v="Technical Degree"/>
    <n v="1367"/>
    <n v="4"/>
    <s v="Female"/>
    <n v="82"/>
    <n v="2"/>
    <n v="4"/>
    <x v="3"/>
    <n v="2"/>
    <s v="Single"/>
    <n v="13142"/>
    <n v="24439"/>
    <n v="3"/>
    <x v="1"/>
    <n v="16"/>
    <n v="3"/>
    <n v="2"/>
    <n v="0"/>
    <n v="29"/>
    <n v="1"/>
    <n v="2"/>
    <n v="5"/>
    <n v="2"/>
    <n v="0"/>
    <n v="3"/>
    <s v="50+"/>
  </r>
  <r>
    <n v="18"/>
    <x v="1"/>
    <s v="Non-Travel"/>
    <n v="1124"/>
    <x v="1"/>
    <n v="1"/>
    <n v="3"/>
    <s v="Life Sciences"/>
    <n v="1368"/>
    <n v="4"/>
    <s v="Female"/>
    <n v="97"/>
    <n v="3"/>
    <n v="1"/>
    <x v="2"/>
    <n v="4"/>
    <s v="Single"/>
    <n v="1611"/>
    <n v="19305"/>
    <n v="1"/>
    <x v="1"/>
    <n v="15"/>
    <n v="3"/>
    <n v="3"/>
    <n v="0"/>
    <n v="0"/>
    <n v="5"/>
    <n v="4"/>
    <n v="0"/>
    <n v="0"/>
    <n v="0"/>
    <n v="0"/>
    <s v="Below 30"/>
  </r>
  <r>
    <n v="35"/>
    <x v="1"/>
    <s v="Travel_Rarely"/>
    <n v="817"/>
    <x v="1"/>
    <n v="1"/>
    <n v="3"/>
    <s v="Medical"/>
    <n v="1369"/>
    <n v="4"/>
    <s v="Female"/>
    <n v="60"/>
    <n v="2"/>
    <n v="2"/>
    <x v="2"/>
    <n v="4"/>
    <s v="Married"/>
    <n v="5363"/>
    <n v="10846"/>
    <n v="0"/>
    <x v="1"/>
    <n v="12"/>
    <n v="3"/>
    <n v="2"/>
    <n v="1"/>
    <n v="10"/>
    <n v="0"/>
    <n v="3"/>
    <n v="9"/>
    <n v="7"/>
    <n v="0"/>
    <n v="0"/>
    <s v="30-39"/>
  </r>
  <r>
    <n v="27"/>
    <x v="1"/>
    <s v="Travel_Frequently"/>
    <n v="793"/>
    <x v="0"/>
    <n v="2"/>
    <n v="1"/>
    <s v="Life Sciences"/>
    <n v="1371"/>
    <n v="4"/>
    <s v="Male"/>
    <n v="43"/>
    <n v="1"/>
    <n v="2"/>
    <x v="0"/>
    <n v="4"/>
    <s v="Single"/>
    <n v="5071"/>
    <n v="20392"/>
    <n v="3"/>
    <x v="1"/>
    <n v="20"/>
    <n v="4"/>
    <n v="2"/>
    <n v="0"/>
    <n v="8"/>
    <n v="3"/>
    <n v="3"/>
    <n v="6"/>
    <n v="2"/>
    <n v="0"/>
    <n v="0"/>
    <s v="Below 30"/>
  </r>
  <r>
    <n v="55"/>
    <x v="0"/>
    <s v="Travel_Rarely"/>
    <n v="267"/>
    <x v="0"/>
    <n v="13"/>
    <n v="4"/>
    <s v="Marketing"/>
    <n v="1372"/>
    <n v="1"/>
    <s v="Male"/>
    <n v="85"/>
    <n v="4"/>
    <n v="4"/>
    <x v="0"/>
    <n v="3"/>
    <s v="Single"/>
    <n v="13695"/>
    <n v="9277"/>
    <n v="6"/>
    <x v="0"/>
    <n v="17"/>
    <n v="3"/>
    <n v="3"/>
    <n v="0"/>
    <n v="24"/>
    <n v="2"/>
    <n v="2"/>
    <n v="19"/>
    <n v="7"/>
    <n v="3"/>
    <n v="8"/>
    <s v="50+"/>
  </r>
  <r>
    <n v="56"/>
    <x v="1"/>
    <s v="Travel_Rarely"/>
    <n v="1369"/>
    <x v="1"/>
    <n v="23"/>
    <n v="3"/>
    <s v="Life Sciences"/>
    <n v="1373"/>
    <n v="4"/>
    <s v="Male"/>
    <n v="68"/>
    <n v="3"/>
    <n v="4"/>
    <x v="3"/>
    <n v="2"/>
    <s v="Married"/>
    <n v="13402"/>
    <n v="18235"/>
    <n v="4"/>
    <x v="0"/>
    <n v="12"/>
    <n v="3"/>
    <n v="1"/>
    <n v="1"/>
    <n v="33"/>
    <n v="0"/>
    <n v="3"/>
    <n v="19"/>
    <n v="16"/>
    <n v="15"/>
    <n v="9"/>
    <s v="50+"/>
  </r>
  <r>
    <n v="34"/>
    <x v="1"/>
    <s v="Non-Travel"/>
    <n v="999"/>
    <x v="1"/>
    <n v="26"/>
    <n v="1"/>
    <s v="Technical Degree"/>
    <n v="1374"/>
    <n v="1"/>
    <s v="Female"/>
    <n v="92"/>
    <n v="2"/>
    <n v="1"/>
    <x v="1"/>
    <n v="3"/>
    <s v="Divorced"/>
    <n v="2029"/>
    <n v="15891"/>
    <n v="1"/>
    <x v="1"/>
    <n v="20"/>
    <n v="4"/>
    <n v="3"/>
    <n v="3"/>
    <n v="5"/>
    <n v="2"/>
    <n v="3"/>
    <n v="5"/>
    <n v="4"/>
    <n v="0"/>
    <n v="0"/>
    <s v="30-39"/>
  </r>
  <r>
    <n v="40"/>
    <x v="1"/>
    <s v="Travel_Rarely"/>
    <n v="1202"/>
    <x v="1"/>
    <n v="2"/>
    <n v="1"/>
    <s v="Medical"/>
    <n v="1375"/>
    <n v="2"/>
    <s v="Female"/>
    <n v="89"/>
    <n v="4"/>
    <n v="2"/>
    <x v="4"/>
    <n v="3"/>
    <s v="Divorced"/>
    <n v="6377"/>
    <n v="13888"/>
    <n v="5"/>
    <x v="1"/>
    <n v="20"/>
    <n v="4"/>
    <n v="2"/>
    <n v="3"/>
    <n v="15"/>
    <n v="0"/>
    <n v="3"/>
    <n v="12"/>
    <n v="11"/>
    <n v="11"/>
    <n v="8"/>
    <s v="40-49"/>
  </r>
  <r>
    <n v="34"/>
    <x v="1"/>
    <s v="Travel_Rarely"/>
    <n v="285"/>
    <x v="1"/>
    <n v="29"/>
    <n v="3"/>
    <s v="Medical"/>
    <n v="1377"/>
    <n v="2"/>
    <s v="Male"/>
    <n v="86"/>
    <n v="3"/>
    <n v="2"/>
    <x v="2"/>
    <n v="3"/>
    <s v="Married"/>
    <n v="5429"/>
    <n v="17491"/>
    <n v="4"/>
    <x v="1"/>
    <n v="13"/>
    <n v="3"/>
    <n v="1"/>
    <n v="2"/>
    <n v="10"/>
    <n v="1"/>
    <n v="3"/>
    <n v="8"/>
    <n v="7"/>
    <n v="7"/>
    <n v="7"/>
    <s v="30-39"/>
  </r>
  <r>
    <n v="31"/>
    <x v="0"/>
    <s v="Travel_Frequently"/>
    <n v="703"/>
    <x v="0"/>
    <n v="2"/>
    <n v="3"/>
    <s v="Life Sciences"/>
    <n v="1379"/>
    <n v="3"/>
    <s v="Female"/>
    <n v="90"/>
    <n v="2"/>
    <n v="1"/>
    <x v="6"/>
    <n v="4"/>
    <s v="Single"/>
    <n v="2785"/>
    <n v="11882"/>
    <n v="7"/>
    <x v="1"/>
    <n v="14"/>
    <n v="3"/>
    <n v="3"/>
    <n v="0"/>
    <n v="3"/>
    <n v="3"/>
    <n v="4"/>
    <n v="1"/>
    <n v="0"/>
    <n v="0"/>
    <n v="0"/>
    <s v="30-39"/>
  </r>
  <r>
    <n v="35"/>
    <x v="0"/>
    <s v="Travel_Frequently"/>
    <n v="662"/>
    <x v="0"/>
    <n v="18"/>
    <n v="4"/>
    <s v="Marketing"/>
    <n v="1380"/>
    <n v="4"/>
    <s v="Female"/>
    <n v="67"/>
    <n v="3"/>
    <n v="2"/>
    <x v="0"/>
    <n v="3"/>
    <s v="Married"/>
    <n v="4614"/>
    <n v="23288"/>
    <n v="0"/>
    <x v="0"/>
    <n v="18"/>
    <n v="3"/>
    <n v="3"/>
    <n v="1"/>
    <n v="5"/>
    <n v="0"/>
    <n v="2"/>
    <n v="4"/>
    <n v="2"/>
    <n v="3"/>
    <n v="2"/>
    <s v="30-39"/>
  </r>
  <r>
    <n v="38"/>
    <x v="1"/>
    <s v="Travel_Frequently"/>
    <n v="693"/>
    <x v="1"/>
    <n v="7"/>
    <n v="3"/>
    <s v="Life Sciences"/>
    <n v="1382"/>
    <n v="4"/>
    <s v="Male"/>
    <n v="57"/>
    <n v="4"/>
    <n v="1"/>
    <x v="1"/>
    <n v="3"/>
    <s v="Divorced"/>
    <n v="2610"/>
    <n v="15748"/>
    <n v="1"/>
    <x v="1"/>
    <n v="11"/>
    <n v="3"/>
    <n v="4"/>
    <n v="3"/>
    <n v="4"/>
    <n v="2"/>
    <n v="3"/>
    <n v="4"/>
    <n v="2"/>
    <n v="0"/>
    <n v="3"/>
    <s v="30-39"/>
  </r>
  <r>
    <n v="34"/>
    <x v="1"/>
    <s v="Travel_Rarely"/>
    <n v="404"/>
    <x v="1"/>
    <n v="2"/>
    <n v="4"/>
    <s v="Technical Degree"/>
    <n v="1383"/>
    <n v="3"/>
    <s v="Female"/>
    <n v="98"/>
    <n v="3"/>
    <n v="2"/>
    <x v="4"/>
    <n v="4"/>
    <s v="Single"/>
    <n v="6687"/>
    <n v="6163"/>
    <n v="1"/>
    <x v="1"/>
    <n v="11"/>
    <n v="3"/>
    <n v="4"/>
    <n v="0"/>
    <n v="14"/>
    <n v="2"/>
    <n v="4"/>
    <n v="14"/>
    <n v="11"/>
    <n v="4"/>
    <n v="11"/>
    <s v="30-39"/>
  </r>
  <r>
    <n v="28"/>
    <x v="1"/>
    <s v="Travel_Rarely"/>
    <n v="736"/>
    <x v="0"/>
    <n v="26"/>
    <n v="3"/>
    <s v="Life Sciences"/>
    <n v="1387"/>
    <n v="3"/>
    <s v="Male"/>
    <n v="48"/>
    <n v="2"/>
    <n v="2"/>
    <x v="0"/>
    <n v="1"/>
    <s v="Married"/>
    <n v="4724"/>
    <n v="24232"/>
    <n v="1"/>
    <x v="1"/>
    <n v="11"/>
    <n v="3"/>
    <n v="3"/>
    <n v="1"/>
    <n v="5"/>
    <n v="0"/>
    <n v="3"/>
    <n v="5"/>
    <n v="3"/>
    <n v="0"/>
    <n v="4"/>
    <s v="Below 30"/>
  </r>
  <r>
    <n v="31"/>
    <x v="0"/>
    <s v="Travel_Rarely"/>
    <n v="330"/>
    <x v="1"/>
    <n v="22"/>
    <n v="4"/>
    <s v="Medical"/>
    <n v="1389"/>
    <n v="4"/>
    <s v="Male"/>
    <n v="98"/>
    <n v="3"/>
    <n v="2"/>
    <x v="3"/>
    <n v="3"/>
    <s v="Married"/>
    <n v="6179"/>
    <n v="21057"/>
    <n v="1"/>
    <x v="0"/>
    <n v="15"/>
    <n v="3"/>
    <n v="4"/>
    <n v="2"/>
    <n v="10"/>
    <n v="3"/>
    <n v="2"/>
    <n v="10"/>
    <n v="2"/>
    <n v="6"/>
    <n v="7"/>
    <s v="30-39"/>
  </r>
  <r>
    <n v="39"/>
    <x v="1"/>
    <s v="Travel_Rarely"/>
    <n v="1498"/>
    <x v="0"/>
    <n v="21"/>
    <n v="4"/>
    <s v="Life Sciences"/>
    <n v="1390"/>
    <n v="1"/>
    <s v="Male"/>
    <n v="44"/>
    <n v="2"/>
    <n v="2"/>
    <x v="0"/>
    <n v="4"/>
    <s v="Married"/>
    <n v="6120"/>
    <n v="3567"/>
    <n v="3"/>
    <x v="0"/>
    <n v="12"/>
    <n v="3"/>
    <n v="4"/>
    <n v="2"/>
    <n v="8"/>
    <n v="2"/>
    <n v="4"/>
    <n v="5"/>
    <n v="4"/>
    <n v="1"/>
    <n v="4"/>
    <s v="30-39"/>
  </r>
  <r>
    <n v="51"/>
    <x v="1"/>
    <s v="Travel_Frequently"/>
    <n v="541"/>
    <x v="0"/>
    <n v="2"/>
    <n v="3"/>
    <s v="Marketing"/>
    <n v="1391"/>
    <n v="2"/>
    <s v="Male"/>
    <n v="52"/>
    <n v="3"/>
    <n v="3"/>
    <x v="0"/>
    <n v="2"/>
    <s v="Married"/>
    <n v="10596"/>
    <n v="15395"/>
    <n v="2"/>
    <x v="1"/>
    <n v="11"/>
    <n v="3"/>
    <n v="2"/>
    <n v="0"/>
    <n v="14"/>
    <n v="5"/>
    <n v="3"/>
    <n v="4"/>
    <n v="2"/>
    <n v="3"/>
    <n v="2"/>
    <s v="50+"/>
  </r>
  <r>
    <n v="41"/>
    <x v="1"/>
    <s v="Travel_Frequently"/>
    <n v="1200"/>
    <x v="1"/>
    <n v="22"/>
    <n v="3"/>
    <s v="Life Sciences"/>
    <n v="1392"/>
    <n v="4"/>
    <s v="Female"/>
    <n v="75"/>
    <n v="3"/>
    <n v="2"/>
    <x v="1"/>
    <n v="4"/>
    <s v="Divorced"/>
    <n v="5467"/>
    <n v="13953"/>
    <n v="3"/>
    <x v="0"/>
    <n v="14"/>
    <n v="3"/>
    <n v="1"/>
    <n v="2"/>
    <n v="12"/>
    <n v="4"/>
    <n v="2"/>
    <n v="6"/>
    <n v="2"/>
    <n v="3"/>
    <n v="3"/>
    <s v="40-49"/>
  </r>
  <r>
    <n v="37"/>
    <x v="1"/>
    <s v="Travel_Rarely"/>
    <n v="1439"/>
    <x v="1"/>
    <n v="4"/>
    <n v="1"/>
    <s v="Life Sciences"/>
    <n v="1394"/>
    <n v="3"/>
    <s v="Male"/>
    <n v="54"/>
    <n v="3"/>
    <n v="1"/>
    <x v="1"/>
    <n v="3"/>
    <s v="Married"/>
    <n v="2996"/>
    <n v="5182"/>
    <n v="7"/>
    <x v="0"/>
    <n v="15"/>
    <n v="3"/>
    <n v="4"/>
    <n v="0"/>
    <n v="8"/>
    <n v="2"/>
    <n v="3"/>
    <n v="6"/>
    <n v="4"/>
    <n v="1"/>
    <n v="3"/>
    <s v="30-39"/>
  </r>
  <r>
    <n v="33"/>
    <x v="1"/>
    <s v="Travel_Frequently"/>
    <n v="1111"/>
    <x v="0"/>
    <n v="5"/>
    <n v="1"/>
    <s v="Life Sciences"/>
    <n v="1395"/>
    <n v="2"/>
    <s v="Male"/>
    <n v="61"/>
    <n v="3"/>
    <n v="2"/>
    <x v="0"/>
    <n v="4"/>
    <s v="Married"/>
    <n v="9998"/>
    <n v="19293"/>
    <n v="6"/>
    <x v="1"/>
    <n v="13"/>
    <n v="3"/>
    <n v="1"/>
    <n v="0"/>
    <n v="8"/>
    <n v="2"/>
    <n v="4"/>
    <n v="5"/>
    <n v="4"/>
    <n v="1"/>
    <n v="2"/>
    <s v="30-39"/>
  </r>
  <r>
    <n v="32"/>
    <x v="1"/>
    <s v="Travel_Rarely"/>
    <n v="499"/>
    <x v="0"/>
    <n v="2"/>
    <n v="1"/>
    <s v="Marketing"/>
    <n v="1396"/>
    <n v="3"/>
    <s v="Male"/>
    <n v="36"/>
    <n v="3"/>
    <n v="2"/>
    <x v="0"/>
    <n v="2"/>
    <s v="Married"/>
    <n v="4078"/>
    <n v="20497"/>
    <n v="0"/>
    <x v="0"/>
    <n v="13"/>
    <n v="3"/>
    <n v="1"/>
    <n v="3"/>
    <n v="4"/>
    <n v="3"/>
    <n v="2"/>
    <n v="3"/>
    <n v="2"/>
    <n v="1"/>
    <n v="2"/>
    <s v="30-39"/>
  </r>
  <r>
    <n v="39"/>
    <x v="1"/>
    <s v="Non-Travel"/>
    <n v="1485"/>
    <x v="1"/>
    <n v="25"/>
    <n v="2"/>
    <s v="Life Sciences"/>
    <n v="1397"/>
    <n v="3"/>
    <s v="Male"/>
    <n v="71"/>
    <n v="3"/>
    <n v="3"/>
    <x v="4"/>
    <n v="3"/>
    <s v="Married"/>
    <n v="10920"/>
    <n v="3449"/>
    <n v="3"/>
    <x v="1"/>
    <n v="21"/>
    <n v="4"/>
    <n v="2"/>
    <n v="1"/>
    <n v="13"/>
    <n v="2"/>
    <n v="3"/>
    <n v="6"/>
    <n v="4"/>
    <n v="0"/>
    <n v="5"/>
    <s v="30-39"/>
  </r>
  <r>
    <n v="25"/>
    <x v="1"/>
    <s v="Travel_Rarely"/>
    <n v="1372"/>
    <x v="0"/>
    <n v="18"/>
    <n v="1"/>
    <s v="Life Sciences"/>
    <n v="1399"/>
    <n v="1"/>
    <s v="Male"/>
    <n v="93"/>
    <n v="4"/>
    <n v="2"/>
    <x v="0"/>
    <n v="3"/>
    <s v="Married"/>
    <n v="6232"/>
    <n v="12477"/>
    <n v="2"/>
    <x v="1"/>
    <n v="11"/>
    <n v="3"/>
    <n v="2"/>
    <n v="0"/>
    <n v="6"/>
    <n v="3"/>
    <n v="2"/>
    <n v="3"/>
    <n v="2"/>
    <n v="1"/>
    <n v="2"/>
    <s v="Below 30"/>
  </r>
  <r>
    <n v="52"/>
    <x v="1"/>
    <s v="Travel_Frequently"/>
    <n v="322"/>
    <x v="1"/>
    <n v="28"/>
    <n v="2"/>
    <s v="Medical"/>
    <n v="1401"/>
    <n v="4"/>
    <s v="Female"/>
    <n v="59"/>
    <n v="4"/>
    <n v="4"/>
    <x v="3"/>
    <n v="3"/>
    <s v="Married"/>
    <n v="13247"/>
    <n v="9731"/>
    <n v="2"/>
    <x v="0"/>
    <n v="11"/>
    <n v="3"/>
    <n v="2"/>
    <n v="1"/>
    <n v="24"/>
    <n v="3"/>
    <n v="2"/>
    <n v="5"/>
    <n v="3"/>
    <n v="0"/>
    <n v="2"/>
    <s v="50+"/>
  </r>
  <r>
    <n v="43"/>
    <x v="1"/>
    <s v="Travel_Rarely"/>
    <n v="930"/>
    <x v="1"/>
    <n v="6"/>
    <n v="3"/>
    <s v="Medical"/>
    <n v="1402"/>
    <n v="1"/>
    <s v="Female"/>
    <n v="73"/>
    <n v="2"/>
    <n v="2"/>
    <x v="1"/>
    <n v="3"/>
    <s v="Single"/>
    <n v="4081"/>
    <n v="20003"/>
    <n v="1"/>
    <x v="0"/>
    <n v="14"/>
    <n v="3"/>
    <n v="1"/>
    <n v="0"/>
    <n v="20"/>
    <n v="3"/>
    <n v="1"/>
    <n v="20"/>
    <n v="7"/>
    <n v="1"/>
    <n v="8"/>
    <s v="40-49"/>
  </r>
  <r>
    <n v="27"/>
    <x v="1"/>
    <s v="Travel_Rarely"/>
    <n v="205"/>
    <x v="0"/>
    <n v="10"/>
    <n v="3"/>
    <s v="Marketing"/>
    <n v="1403"/>
    <n v="4"/>
    <s v="Female"/>
    <n v="98"/>
    <n v="2"/>
    <n v="2"/>
    <x v="0"/>
    <n v="4"/>
    <s v="Married"/>
    <n v="5769"/>
    <n v="7100"/>
    <n v="1"/>
    <x v="0"/>
    <n v="11"/>
    <n v="3"/>
    <n v="4"/>
    <n v="0"/>
    <n v="6"/>
    <n v="3"/>
    <n v="3"/>
    <n v="6"/>
    <n v="2"/>
    <n v="4"/>
    <n v="4"/>
    <s v="Below 30"/>
  </r>
  <r>
    <n v="27"/>
    <x v="0"/>
    <s v="Travel_Rarely"/>
    <n v="135"/>
    <x v="1"/>
    <n v="17"/>
    <n v="4"/>
    <s v="Life Sciences"/>
    <n v="1405"/>
    <n v="4"/>
    <s v="Female"/>
    <n v="51"/>
    <n v="3"/>
    <n v="1"/>
    <x v="1"/>
    <n v="3"/>
    <s v="Single"/>
    <n v="2394"/>
    <n v="25681"/>
    <n v="1"/>
    <x v="0"/>
    <n v="13"/>
    <n v="3"/>
    <n v="4"/>
    <n v="0"/>
    <n v="8"/>
    <n v="2"/>
    <n v="3"/>
    <n v="8"/>
    <n v="2"/>
    <n v="7"/>
    <n v="7"/>
    <s v="Below 30"/>
  </r>
  <r>
    <n v="26"/>
    <x v="1"/>
    <s v="Travel_Rarely"/>
    <n v="683"/>
    <x v="1"/>
    <n v="2"/>
    <n v="1"/>
    <s v="Medical"/>
    <n v="1407"/>
    <n v="1"/>
    <s v="Male"/>
    <n v="36"/>
    <n v="2"/>
    <n v="1"/>
    <x v="1"/>
    <n v="4"/>
    <s v="Single"/>
    <n v="3904"/>
    <n v="4050"/>
    <n v="0"/>
    <x v="1"/>
    <n v="12"/>
    <n v="3"/>
    <n v="4"/>
    <n v="0"/>
    <n v="5"/>
    <n v="2"/>
    <n v="3"/>
    <n v="4"/>
    <n v="3"/>
    <n v="1"/>
    <n v="1"/>
    <s v="Below 30"/>
  </r>
  <r>
    <n v="42"/>
    <x v="1"/>
    <s v="Travel_Rarely"/>
    <n v="1147"/>
    <x v="2"/>
    <n v="10"/>
    <n v="3"/>
    <s v="Human Resources"/>
    <n v="1408"/>
    <n v="3"/>
    <s v="Female"/>
    <n v="31"/>
    <n v="3"/>
    <n v="4"/>
    <x v="5"/>
    <n v="1"/>
    <s v="Married"/>
    <n v="16799"/>
    <n v="16616"/>
    <n v="0"/>
    <x v="1"/>
    <n v="14"/>
    <n v="3"/>
    <n v="3"/>
    <n v="1"/>
    <n v="21"/>
    <n v="5"/>
    <n v="3"/>
    <n v="20"/>
    <n v="7"/>
    <n v="0"/>
    <n v="9"/>
    <s v="40-49"/>
  </r>
  <r>
    <n v="52"/>
    <x v="1"/>
    <s v="Travel_Rarely"/>
    <n v="258"/>
    <x v="1"/>
    <n v="8"/>
    <n v="4"/>
    <s v="Other"/>
    <n v="1409"/>
    <n v="3"/>
    <s v="Female"/>
    <n v="54"/>
    <n v="3"/>
    <n v="1"/>
    <x v="2"/>
    <n v="1"/>
    <s v="Married"/>
    <n v="2950"/>
    <n v="17363"/>
    <n v="9"/>
    <x v="1"/>
    <n v="13"/>
    <n v="3"/>
    <n v="3"/>
    <n v="0"/>
    <n v="12"/>
    <n v="2"/>
    <n v="1"/>
    <n v="5"/>
    <n v="4"/>
    <n v="0"/>
    <n v="4"/>
    <s v="50+"/>
  </r>
  <r>
    <n v="37"/>
    <x v="1"/>
    <s v="Travel_Rarely"/>
    <n v="1462"/>
    <x v="1"/>
    <n v="11"/>
    <n v="3"/>
    <s v="Medical"/>
    <n v="1411"/>
    <n v="1"/>
    <s v="Female"/>
    <n v="94"/>
    <n v="3"/>
    <n v="1"/>
    <x v="2"/>
    <n v="3"/>
    <s v="Single"/>
    <n v="3629"/>
    <n v="19106"/>
    <n v="4"/>
    <x v="1"/>
    <n v="18"/>
    <n v="3"/>
    <n v="1"/>
    <n v="0"/>
    <n v="8"/>
    <n v="6"/>
    <n v="3"/>
    <n v="3"/>
    <n v="2"/>
    <n v="0"/>
    <n v="2"/>
    <s v="30-39"/>
  </r>
  <r>
    <n v="35"/>
    <x v="1"/>
    <s v="Travel_Frequently"/>
    <n v="200"/>
    <x v="1"/>
    <n v="18"/>
    <n v="2"/>
    <s v="Life Sciences"/>
    <n v="1412"/>
    <n v="3"/>
    <s v="Male"/>
    <n v="60"/>
    <n v="3"/>
    <n v="3"/>
    <x v="3"/>
    <n v="4"/>
    <s v="Single"/>
    <n v="9362"/>
    <n v="19944"/>
    <n v="2"/>
    <x v="1"/>
    <n v="11"/>
    <n v="3"/>
    <n v="3"/>
    <n v="0"/>
    <n v="10"/>
    <n v="2"/>
    <n v="3"/>
    <n v="2"/>
    <n v="2"/>
    <n v="2"/>
    <n v="2"/>
    <s v="30-39"/>
  </r>
  <r>
    <n v="25"/>
    <x v="1"/>
    <s v="Travel_Rarely"/>
    <n v="949"/>
    <x v="1"/>
    <n v="1"/>
    <n v="3"/>
    <s v="Technical Degree"/>
    <n v="1415"/>
    <n v="1"/>
    <s v="Male"/>
    <n v="81"/>
    <n v="3"/>
    <n v="1"/>
    <x v="2"/>
    <n v="4"/>
    <s v="Married"/>
    <n v="3229"/>
    <n v="4910"/>
    <n v="4"/>
    <x v="1"/>
    <n v="11"/>
    <n v="3"/>
    <n v="2"/>
    <n v="1"/>
    <n v="7"/>
    <n v="2"/>
    <n v="2"/>
    <n v="3"/>
    <n v="2"/>
    <n v="0"/>
    <n v="2"/>
    <s v="Below 30"/>
  </r>
  <r>
    <n v="26"/>
    <x v="1"/>
    <s v="Travel_Rarely"/>
    <n v="652"/>
    <x v="1"/>
    <n v="7"/>
    <n v="3"/>
    <s v="Other"/>
    <n v="1417"/>
    <n v="3"/>
    <s v="Male"/>
    <n v="100"/>
    <n v="4"/>
    <n v="1"/>
    <x v="2"/>
    <n v="1"/>
    <s v="Single"/>
    <n v="3578"/>
    <n v="23577"/>
    <n v="0"/>
    <x v="1"/>
    <n v="12"/>
    <n v="3"/>
    <n v="4"/>
    <n v="0"/>
    <n v="8"/>
    <n v="2"/>
    <n v="3"/>
    <n v="7"/>
    <n v="7"/>
    <n v="0"/>
    <n v="7"/>
    <s v="Below 30"/>
  </r>
  <r>
    <n v="29"/>
    <x v="1"/>
    <s v="Travel_Rarely"/>
    <n v="332"/>
    <x v="2"/>
    <n v="17"/>
    <n v="3"/>
    <s v="Other"/>
    <n v="1419"/>
    <n v="2"/>
    <s v="Male"/>
    <n v="51"/>
    <n v="2"/>
    <n v="3"/>
    <x v="8"/>
    <n v="1"/>
    <s v="Single"/>
    <n v="7988"/>
    <n v="9769"/>
    <n v="1"/>
    <x v="1"/>
    <n v="13"/>
    <n v="3"/>
    <n v="1"/>
    <n v="0"/>
    <n v="10"/>
    <n v="3"/>
    <n v="2"/>
    <n v="10"/>
    <n v="9"/>
    <n v="0"/>
    <n v="9"/>
    <s v="Below 30"/>
  </r>
  <r>
    <n v="49"/>
    <x v="0"/>
    <s v="Travel_Frequently"/>
    <n v="1475"/>
    <x v="1"/>
    <n v="28"/>
    <n v="2"/>
    <s v="Life Sciences"/>
    <n v="1420"/>
    <n v="1"/>
    <s v="Male"/>
    <n v="97"/>
    <n v="2"/>
    <n v="2"/>
    <x v="2"/>
    <n v="1"/>
    <s v="Single"/>
    <n v="4284"/>
    <n v="22710"/>
    <n v="3"/>
    <x v="1"/>
    <n v="20"/>
    <n v="4"/>
    <n v="1"/>
    <n v="0"/>
    <n v="20"/>
    <n v="2"/>
    <n v="3"/>
    <n v="4"/>
    <n v="3"/>
    <n v="1"/>
    <n v="3"/>
    <s v="40-49"/>
  </r>
  <r>
    <n v="29"/>
    <x v="0"/>
    <s v="Travel_Frequently"/>
    <n v="337"/>
    <x v="1"/>
    <n v="14"/>
    <n v="1"/>
    <s v="Other"/>
    <n v="1421"/>
    <n v="3"/>
    <s v="Female"/>
    <n v="84"/>
    <n v="3"/>
    <n v="3"/>
    <x v="4"/>
    <n v="4"/>
    <s v="Single"/>
    <n v="7553"/>
    <n v="22930"/>
    <n v="0"/>
    <x v="0"/>
    <n v="12"/>
    <n v="3"/>
    <n v="1"/>
    <n v="0"/>
    <n v="9"/>
    <n v="1"/>
    <n v="3"/>
    <n v="8"/>
    <n v="7"/>
    <n v="7"/>
    <n v="7"/>
    <s v="Below 30"/>
  </r>
  <r>
    <n v="54"/>
    <x v="1"/>
    <s v="Travel_Rarely"/>
    <n v="971"/>
    <x v="1"/>
    <n v="1"/>
    <n v="3"/>
    <s v="Medical"/>
    <n v="1422"/>
    <n v="4"/>
    <s v="Female"/>
    <n v="54"/>
    <n v="3"/>
    <n v="4"/>
    <x v="7"/>
    <n v="4"/>
    <s v="Single"/>
    <n v="17328"/>
    <n v="5652"/>
    <n v="6"/>
    <x v="1"/>
    <n v="19"/>
    <n v="3"/>
    <n v="4"/>
    <n v="0"/>
    <n v="29"/>
    <n v="3"/>
    <n v="2"/>
    <n v="20"/>
    <n v="7"/>
    <n v="12"/>
    <n v="7"/>
    <s v="50+"/>
  </r>
  <r>
    <n v="58"/>
    <x v="1"/>
    <s v="Travel_Rarely"/>
    <n v="1055"/>
    <x v="1"/>
    <n v="1"/>
    <n v="3"/>
    <s v="Medical"/>
    <n v="1423"/>
    <n v="4"/>
    <s v="Female"/>
    <n v="76"/>
    <n v="3"/>
    <n v="5"/>
    <x v="7"/>
    <n v="1"/>
    <s v="Married"/>
    <n v="19701"/>
    <n v="22456"/>
    <n v="3"/>
    <x v="0"/>
    <n v="21"/>
    <n v="4"/>
    <n v="3"/>
    <n v="1"/>
    <n v="32"/>
    <n v="3"/>
    <n v="3"/>
    <n v="9"/>
    <n v="8"/>
    <n v="1"/>
    <n v="5"/>
    <s v="50+"/>
  </r>
  <r>
    <n v="55"/>
    <x v="1"/>
    <s v="Travel_Rarely"/>
    <n v="1136"/>
    <x v="1"/>
    <n v="1"/>
    <n v="4"/>
    <s v="Medical"/>
    <n v="1424"/>
    <n v="2"/>
    <s v="Male"/>
    <n v="81"/>
    <n v="4"/>
    <n v="4"/>
    <x v="7"/>
    <n v="4"/>
    <s v="Divorced"/>
    <n v="14732"/>
    <n v="12414"/>
    <n v="2"/>
    <x v="1"/>
    <n v="13"/>
    <n v="3"/>
    <n v="4"/>
    <n v="2"/>
    <n v="31"/>
    <n v="4"/>
    <n v="4"/>
    <n v="7"/>
    <n v="7"/>
    <n v="0"/>
    <n v="0"/>
    <s v="50+"/>
  </r>
  <r>
    <n v="36"/>
    <x v="1"/>
    <s v="Travel_Rarely"/>
    <n v="1174"/>
    <x v="0"/>
    <n v="3"/>
    <n v="4"/>
    <s v="Marketing"/>
    <n v="1425"/>
    <n v="1"/>
    <s v="Female"/>
    <n v="99"/>
    <n v="3"/>
    <n v="2"/>
    <x v="0"/>
    <n v="2"/>
    <s v="Single"/>
    <n v="9278"/>
    <n v="20763"/>
    <n v="3"/>
    <x v="0"/>
    <n v="16"/>
    <n v="3"/>
    <n v="4"/>
    <n v="0"/>
    <n v="15"/>
    <n v="3"/>
    <n v="3"/>
    <n v="5"/>
    <n v="4"/>
    <n v="0"/>
    <n v="1"/>
    <s v="30-39"/>
  </r>
  <r>
    <n v="31"/>
    <x v="0"/>
    <s v="Travel_Frequently"/>
    <n v="667"/>
    <x v="0"/>
    <n v="1"/>
    <n v="4"/>
    <s v="Life Sciences"/>
    <n v="1427"/>
    <n v="2"/>
    <s v="Female"/>
    <n v="50"/>
    <n v="1"/>
    <n v="1"/>
    <x v="6"/>
    <n v="3"/>
    <s v="Single"/>
    <n v="1359"/>
    <n v="16154"/>
    <n v="1"/>
    <x v="1"/>
    <n v="12"/>
    <n v="3"/>
    <n v="2"/>
    <n v="0"/>
    <n v="1"/>
    <n v="3"/>
    <n v="3"/>
    <n v="1"/>
    <n v="0"/>
    <n v="0"/>
    <n v="0"/>
    <s v="30-39"/>
  </r>
  <r>
    <n v="30"/>
    <x v="1"/>
    <s v="Travel_Rarely"/>
    <n v="855"/>
    <x v="0"/>
    <n v="7"/>
    <n v="4"/>
    <s v="Marketing"/>
    <n v="1428"/>
    <n v="4"/>
    <s v="Female"/>
    <n v="73"/>
    <n v="3"/>
    <n v="2"/>
    <x v="0"/>
    <n v="1"/>
    <s v="Divorced"/>
    <n v="4779"/>
    <n v="12761"/>
    <n v="7"/>
    <x v="1"/>
    <n v="14"/>
    <n v="3"/>
    <n v="2"/>
    <n v="2"/>
    <n v="8"/>
    <n v="3"/>
    <n v="3"/>
    <n v="3"/>
    <n v="2"/>
    <n v="0"/>
    <n v="2"/>
    <s v="30-39"/>
  </r>
  <r>
    <n v="31"/>
    <x v="1"/>
    <s v="Travel_Rarely"/>
    <n v="182"/>
    <x v="1"/>
    <n v="8"/>
    <n v="5"/>
    <s v="Life Sciences"/>
    <n v="1430"/>
    <n v="1"/>
    <s v="Female"/>
    <n v="93"/>
    <n v="3"/>
    <n v="4"/>
    <x v="7"/>
    <n v="2"/>
    <s v="Single"/>
    <n v="16422"/>
    <n v="8847"/>
    <n v="3"/>
    <x v="1"/>
    <n v="11"/>
    <n v="3"/>
    <n v="3"/>
    <n v="0"/>
    <n v="9"/>
    <n v="3"/>
    <n v="4"/>
    <n v="3"/>
    <n v="2"/>
    <n v="1"/>
    <n v="0"/>
    <s v="30-39"/>
  </r>
  <r>
    <n v="34"/>
    <x v="1"/>
    <s v="Travel_Frequently"/>
    <n v="560"/>
    <x v="1"/>
    <n v="1"/>
    <n v="4"/>
    <s v="Other"/>
    <n v="1431"/>
    <n v="4"/>
    <s v="Male"/>
    <n v="91"/>
    <n v="3"/>
    <n v="1"/>
    <x v="1"/>
    <n v="1"/>
    <s v="Divorced"/>
    <n v="2996"/>
    <n v="20284"/>
    <n v="5"/>
    <x v="1"/>
    <n v="14"/>
    <n v="3"/>
    <n v="3"/>
    <n v="2"/>
    <n v="10"/>
    <n v="2"/>
    <n v="3"/>
    <n v="4"/>
    <n v="3"/>
    <n v="1"/>
    <n v="3"/>
    <s v="30-39"/>
  </r>
  <r>
    <n v="31"/>
    <x v="0"/>
    <s v="Travel_Rarely"/>
    <n v="202"/>
    <x v="1"/>
    <n v="8"/>
    <n v="3"/>
    <s v="Life Sciences"/>
    <n v="1433"/>
    <n v="1"/>
    <s v="Female"/>
    <n v="34"/>
    <n v="2"/>
    <n v="1"/>
    <x v="1"/>
    <n v="2"/>
    <s v="Single"/>
    <n v="1261"/>
    <n v="22262"/>
    <n v="1"/>
    <x v="1"/>
    <n v="12"/>
    <n v="3"/>
    <n v="3"/>
    <n v="0"/>
    <n v="1"/>
    <n v="3"/>
    <n v="4"/>
    <n v="1"/>
    <n v="0"/>
    <n v="0"/>
    <n v="0"/>
    <s v="30-39"/>
  </r>
  <r>
    <n v="27"/>
    <x v="1"/>
    <s v="Travel_Rarely"/>
    <n v="1377"/>
    <x v="1"/>
    <n v="11"/>
    <n v="1"/>
    <s v="Life Sciences"/>
    <n v="1434"/>
    <n v="2"/>
    <s v="Male"/>
    <n v="91"/>
    <n v="3"/>
    <n v="1"/>
    <x v="2"/>
    <n v="1"/>
    <s v="Married"/>
    <n v="2099"/>
    <n v="7679"/>
    <n v="0"/>
    <x v="1"/>
    <n v="14"/>
    <n v="3"/>
    <n v="2"/>
    <n v="0"/>
    <n v="6"/>
    <n v="3"/>
    <n v="4"/>
    <n v="5"/>
    <n v="0"/>
    <n v="1"/>
    <n v="4"/>
    <s v="Below 30"/>
  </r>
  <r>
    <n v="36"/>
    <x v="1"/>
    <s v="Travel_Rarely"/>
    <n v="172"/>
    <x v="1"/>
    <n v="4"/>
    <n v="4"/>
    <s v="Life Sciences"/>
    <n v="1435"/>
    <n v="1"/>
    <s v="Male"/>
    <n v="37"/>
    <n v="2"/>
    <n v="2"/>
    <x v="2"/>
    <n v="4"/>
    <s v="Single"/>
    <n v="5810"/>
    <n v="22604"/>
    <n v="1"/>
    <x v="1"/>
    <n v="16"/>
    <n v="3"/>
    <n v="3"/>
    <n v="0"/>
    <n v="10"/>
    <n v="2"/>
    <n v="2"/>
    <n v="10"/>
    <n v="4"/>
    <n v="1"/>
    <n v="8"/>
    <s v="30-39"/>
  </r>
  <r>
    <n v="36"/>
    <x v="1"/>
    <s v="Travel_Rarely"/>
    <n v="329"/>
    <x v="0"/>
    <n v="16"/>
    <n v="4"/>
    <s v="Marketing"/>
    <n v="1436"/>
    <n v="3"/>
    <s v="Female"/>
    <n v="98"/>
    <n v="2"/>
    <n v="2"/>
    <x v="0"/>
    <n v="1"/>
    <s v="Married"/>
    <n v="5647"/>
    <n v="13494"/>
    <n v="4"/>
    <x v="1"/>
    <n v="13"/>
    <n v="3"/>
    <n v="1"/>
    <n v="2"/>
    <n v="11"/>
    <n v="3"/>
    <n v="2"/>
    <n v="3"/>
    <n v="2"/>
    <n v="0"/>
    <n v="2"/>
    <s v="30-39"/>
  </r>
  <r>
    <n v="47"/>
    <x v="1"/>
    <s v="Travel_Rarely"/>
    <n v="465"/>
    <x v="1"/>
    <n v="1"/>
    <n v="3"/>
    <s v="Technical Degree"/>
    <n v="1438"/>
    <n v="1"/>
    <s v="Male"/>
    <n v="74"/>
    <n v="3"/>
    <n v="1"/>
    <x v="1"/>
    <n v="4"/>
    <s v="Married"/>
    <n v="3420"/>
    <n v="10205"/>
    <n v="7"/>
    <x v="1"/>
    <n v="12"/>
    <n v="3"/>
    <n v="3"/>
    <n v="1"/>
    <n v="17"/>
    <n v="2"/>
    <n v="2"/>
    <n v="6"/>
    <n v="5"/>
    <n v="1"/>
    <n v="2"/>
    <s v="40-49"/>
  </r>
  <r>
    <n v="25"/>
    <x v="0"/>
    <s v="Travel_Rarely"/>
    <n v="383"/>
    <x v="0"/>
    <n v="9"/>
    <n v="2"/>
    <s v="Life Sciences"/>
    <n v="1439"/>
    <n v="1"/>
    <s v="Male"/>
    <n v="68"/>
    <n v="2"/>
    <n v="1"/>
    <x v="6"/>
    <n v="1"/>
    <s v="Married"/>
    <n v="4400"/>
    <n v="15182"/>
    <n v="3"/>
    <x v="1"/>
    <n v="12"/>
    <n v="3"/>
    <n v="1"/>
    <n v="0"/>
    <n v="6"/>
    <n v="2"/>
    <n v="3"/>
    <n v="3"/>
    <n v="2"/>
    <n v="2"/>
    <n v="2"/>
    <s v="Below 30"/>
  </r>
  <r>
    <n v="37"/>
    <x v="1"/>
    <s v="Non-Travel"/>
    <n v="1413"/>
    <x v="1"/>
    <n v="5"/>
    <n v="2"/>
    <s v="Technical Degree"/>
    <n v="1440"/>
    <n v="3"/>
    <s v="Male"/>
    <n v="84"/>
    <n v="4"/>
    <n v="1"/>
    <x v="2"/>
    <n v="3"/>
    <s v="Single"/>
    <n v="3500"/>
    <n v="25470"/>
    <n v="0"/>
    <x v="1"/>
    <n v="14"/>
    <n v="3"/>
    <n v="1"/>
    <n v="0"/>
    <n v="7"/>
    <n v="2"/>
    <n v="1"/>
    <n v="6"/>
    <n v="5"/>
    <n v="1"/>
    <n v="3"/>
    <s v="30-39"/>
  </r>
  <r>
    <n v="56"/>
    <x v="1"/>
    <s v="Travel_Rarely"/>
    <n v="1255"/>
    <x v="1"/>
    <n v="1"/>
    <n v="2"/>
    <s v="Life Sciences"/>
    <n v="1441"/>
    <n v="1"/>
    <s v="Female"/>
    <n v="90"/>
    <n v="3"/>
    <n v="1"/>
    <x v="1"/>
    <n v="1"/>
    <s v="Married"/>
    <n v="2066"/>
    <n v="10494"/>
    <n v="2"/>
    <x v="1"/>
    <n v="22"/>
    <n v="4"/>
    <n v="4"/>
    <n v="1"/>
    <n v="5"/>
    <n v="3"/>
    <n v="4"/>
    <n v="3"/>
    <n v="2"/>
    <n v="1"/>
    <n v="0"/>
    <s v="50+"/>
  </r>
  <r>
    <n v="47"/>
    <x v="1"/>
    <s v="Travel_Rarely"/>
    <n v="359"/>
    <x v="1"/>
    <n v="2"/>
    <n v="4"/>
    <s v="Medical"/>
    <n v="1443"/>
    <n v="1"/>
    <s v="Female"/>
    <n v="82"/>
    <n v="3"/>
    <n v="4"/>
    <x v="7"/>
    <n v="3"/>
    <s v="Married"/>
    <n v="17169"/>
    <n v="26703"/>
    <n v="3"/>
    <x v="1"/>
    <n v="19"/>
    <n v="3"/>
    <n v="2"/>
    <n v="2"/>
    <n v="26"/>
    <n v="2"/>
    <n v="4"/>
    <n v="20"/>
    <n v="17"/>
    <n v="5"/>
    <n v="6"/>
    <s v="40-49"/>
  </r>
  <r>
    <n v="24"/>
    <x v="1"/>
    <s v="Travel_Rarely"/>
    <n v="1476"/>
    <x v="0"/>
    <n v="4"/>
    <n v="1"/>
    <s v="Medical"/>
    <n v="1445"/>
    <n v="4"/>
    <s v="Female"/>
    <n v="42"/>
    <n v="3"/>
    <n v="2"/>
    <x v="0"/>
    <n v="3"/>
    <s v="Married"/>
    <n v="4162"/>
    <n v="15211"/>
    <n v="1"/>
    <x v="0"/>
    <n v="12"/>
    <n v="3"/>
    <n v="3"/>
    <n v="2"/>
    <n v="5"/>
    <n v="3"/>
    <n v="3"/>
    <n v="5"/>
    <n v="4"/>
    <n v="0"/>
    <n v="3"/>
    <s v="Below 30"/>
  </r>
  <r>
    <n v="32"/>
    <x v="1"/>
    <s v="Travel_Rarely"/>
    <n v="601"/>
    <x v="0"/>
    <n v="7"/>
    <n v="5"/>
    <s v="Marketing"/>
    <n v="1446"/>
    <n v="4"/>
    <s v="Male"/>
    <n v="97"/>
    <n v="3"/>
    <n v="2"/>
    <x v="0"/>
    <n v="4"/>
    <s v="Married"/>
    <n v="9204"/>
    <n v="23343"/>
    <n v="4"/>
    <x v="1"/>
    <n v="12"/>
    <n v="3"/>
    <n v="3"/>
    <n v="1"/>
    <n v="7"/>
    <n v="3"/>
    <n v="2"/>
    <n v="4"/>
    <n v="3"/>
    <n v="0"/>
    <n v="3"/>
    <s v="30-39"/>
  </r>
  <r>
    <n v="34"/>
    <x v="1"/>
    <s v="Travel_Rarely"/>
    <n v="401"/>
    <x v="1"/>
    <n v="1"/>
    <n v="3"/>
    <s v="Life Sciences"/>
    <n v="1447"/>
    <n v="4"/>
    <s v="Female"/>
    <n v="86"/>
    <n v="2"/>
    <n v="1"/>
    <x v="2"/>
    <n v="2"/>
    <s v="Married"/>
    <n v="3294"/>
    <n v="3708"/>
    <n v="5"/>
    <x v="1"/>
    <n v="17"/>
    <n v="3"/>
    <n v="1"/>
    <n v="1"/>
    <n v="7"/>
    <n v="2"/>
    <n v="2"/>
    <n v="5"/>
    <n v="4"/>
    <n v="0"/>
    <n v="2"/>
    <s v="30-39"/>
  </r>
  <r>
    <n v="41"/>
    <x v="1"/>
    <s v="Travel_Rarely"/>
    <n v="1283"/>
    <x v="1"/>
    <n v="5"/>
    <n v="5"/>
    <s v="Medical"/>
    <n v="1448"/>
    <n v="2"/>
    <s v="Male"/>
    <n v="90"/>
    <n v="4"/>
    <n v="1"/>
    <x v="1"/>
    <n v="3"/>
    <s v="Married"/>
    <n v="2127"/>
    <n v="5561"/>
    <n v="2"/>
    <x v="0"/>
    <n v="12"/>
    <n v="3"/>
    <n v="1"/>
    <n v="0"/>
    <n v="7"/>
    <n v="5"/>
    <n v="2"/>
    <n v="4"/>
    <n v="2"/>
    <n v="0"/>
    <n v="3"/>
    <s v="40-49"/>
  </r>
  <r>
    <n v="40"/>
    <x v="1"/>
    <s v="Non-Travel"/>
    <n v="663"/>
    <x v="1"/>
    <n v="9"/>
    <n v="4"/>
    <s v="Other"/>
    <n v="1449"/>
    <n v="3"/>
    <s v="Male"/>
    <n v="81"/>
    <n v="3"/>
    <n v="2"/>
    <x v="2"/>
    <n v="3"/>
    <s v="Divorced"/>
    <n v="3975"/>
    <n v="23099"/>
    <n v="3"/>
    <x v="1"/>
    <n v="11"/>
    <n v="3"/>
    <n v="3"/>
    <n v="2"/>
    <n v="11"/>
    <n v="2"/>
    <n v="4"/>
    <n v="8"/>
    <n v="7"/>
    <n v="0"/>
    <n v="7"/>
    <s v="40-49"/>
  </r>
  <r>
    <n v="31"/>
    <x v="1"/>
    <s v="Travel_Rarely"/>
    <n v="326"/>
    <x v="0"/>
    <n v="8"/>
    <n v="2"/>
    <s v="Life Sciences"/>
    <n v="1453"/>
    <n v="1"/>
    <s v="Male"/>
    <n v="31"/>
    <n v="3"/>
    <n v="3"/>
    <x v="0"/>
    <n v="4"/>
    <s v="Divorced"/>
    <n v="10793"/>
    <n v="8386"/>
    <n v="1"/>
    <x v="1"/>
    <n v="18"/>
    <n v="3"/>
    <n v="1"/>
    <n v="1"/>
    <n v="13"/>
    <n v="5"/>
    <n v="3"/>
    <n v="13"/>
    <n v="7"/>
    <n v="9"/>
    <n v="9"/>
    <s v="30-39"/>
  </r>
  <r>
    <n v="46"/>
    <x v="0"/>
    <s v="Travel_Rarely"/>
    <n v="377"/>
    <x v="0"/>
    <n v="9"/>
    <n v="3"/>
    <s v="Marketing"/>
    <n v="1457"/>
    <n v="1"/>
    <s v="Male"/>
    <n v="52"/>
    <n v="3"/>
    <n v="3"/>
    <x v="0"/>
    <n v="4"/>
    <s v="Divorced"/>
    <n v="10096"/>
    <n v="15986"/>
    <n v="4"/>
    <x v="1"/>
    <n v="11"/>
    <n v="3"/>
    <n v="1"/>
    <n v="1"/>
    <n v="28"/>
    <n v="1"/>
    <n v="4"/>
    <n v="7"/>
    <n v="7"/>
    <n v="4"/>
    <n v="3"/>
    <s v="40-49"/>
  </r>
  <r>
    <n v="39"/>
    <x v="0"/>
    <s v="Non-Travel"/>
    <n v="592"/>
    <x v="1"/>
    <n v="2"/>
    <n v="3"/>
    <s v="Life Sciences"/>
    <n v="1458"/>
    <n v="1"/>
    <s v="Female"/>
    <n v="54"/>
    <n v="2"/>
    <n v="1"/>
    <x v="2"/>
    <n v="1"/>
    <s v="Single"/>
    <n v="3646"/>
    <n v="17181"/>
    <n v="2"/>
    <x v="0"/>
    <n v="23"/>
    <n v="4"/>
    <n v="2"/>
    <n v="0"/>
    <n v="11"/>
    <n v="2"/>
    <n v="4"/>
    <n v="1"/>
    <n v="0"/>
    <n v="0"/>
    <n v="0"/>
    <s v="30-39"/>
  </r>
  <r>
    <n v="31"/>
    <x v="0"/>
    <s v="Travel_Frequently"/>
    <n v="1445"/>
    <x v="1"/>
    <n v="1"/>
    <n v="5"/>
    <s v="Life Sciences"/>
    <n v="1459"/>
    <n v="3"/>
    <s v="Female"/>
    <n v="100"/>
    <n v="4"/>
    <n v="3"/>
    <x v="3"/>
    <n v="2"/>
    <s v="Single"/>
    <n v="7446"/>
    <n v="8931"/>
    <n v="1"/>
    <x v="1"/>
    <n v="11"/>
    <n v="3"/>
    <n v="1"/>
    <n v="0"/>
    <n v="10"/>
    <n v="2"/>
    <n v="3"/>
    <n v="10"/>
    <n v="8"/>
    <n v="4"/>
    <n v="7"/>
    <s v="30-39"/>
  </r>
  <r>
    <n v="45"/>
    <x v="1"/>
    <s v="Travel_Rarely"/>
    <n v="1038"/>
    <x v="1"/>
    <n v="20"/>
    <n v="3"/>
    <s v="Medical"/>
    <n v="1460"/>
    <n v="2"/>
    <s v="Male"/>
    <n v="95"/>
    <n v="1"/>
    <n v="3"/>
    <x v="4"/>
    <n v="1"/>
    <s v="Divorced"/>
    <n v="10851"/>
    <n v="19863"/>
    <n v="2"/>
    <x v="0"/>
    <n v="18"/>
    <n v="3"/>
    <n v="2"/>
    <n v="1"/>
    <n v="24"/>
    <n v="2"/>
    <n v="3"/>
    <n v="7"/>
    <n v="7"/>
    <n v="0"/>
    <n v="7"/>
    <s v="40-49"/>
  </r>
  <r>
    <n v="31"/>
    <x v="1"/>
    <s v="Travel_Rarely"/>
    <n v="1398"/>
    <x v="2"/>
    <n v="8"/>
    <n v="2"/>
    <s v="Medical"/>
    <n v="1461"/>
    <n v="4"/>
    <s v="Female"/>
    <n v="96"/>
    <n v="4"/>
    <n v="1"/>
    <x v="8"/>
    <n v="2"/>
    <s v="Single"/>
    <n v="2109"/>
    <n v="24609"/>
    <n v="9"/>
    <x v="1"/>
    <n v="18"/>
    <n v="3"/>
    <n v="4"/>
    <n v="0"/>
    <n v="8"/>
    <n v="3"/>
    <n v="3"/>
    <n v="3"/>
    <n v="2"/>
    <n v="0"/>
    <n v="2"/>
    <s v="30-39"/>
  </r>
  <r>
    <n v="31"/>
    <x v="0"/>
    <s v="Travel_Frequently"/>
    <n v="523"/>
    <x v="1"/>
    <n v="2"/>
    <n v="3"/>
    <s v="Life Sciences"/>
    <n v="1464"/>
    <n v="2"/>
    <s v="Male"/>
    <n v="94"/>
    <n v="3"/>
    <n v="1"/>
    <x v="2"/>
    <n v="4"/>
    <s v="Married"/>
    <n v="3722"/>
    <n v="21081"/>
    <n v="6"/>
    <x v="0"/>
    <n v="13"/>
    <n v="3"/>
    <n v="3"/>
    <n v="1"/>
    <n v="7"/>
    <n v="2"/>
    <n v="1"/>
    <n v="2"/>
    <n v="2"/>
    <n v="2"/>
    <n v="2"/>
    <s v="30-39"/>
  </r>
  <r>
    <n v="45"/>
    <x v="1"/>
    <s v="Travel_Rarely"/>
    <n v="1448"/>
    <x v="1"/>
    <n v="29"/>
    <n v="3"/>
    <s v="Technical Degree"/>
    <n v="1465"/>
    <n v="2"/>
    <s v="Male"/>
    <n v="55"/>
    <n v="3"/>
    <n v="3"/>
    <x v="3"/>
    <n v="4"/>
    <s v="Married"/>
    <n v="9380"/>
    <n v="14720"/>
    <n v="4"/>
    <x v="0"/>
    <n v="18"/>
    <n v="3"/>
    <n v="4"/>
    <n v="2"/>
    <n v="10"/>
    <n v="4"/>
    <n v="4"/>
    <n v="3"/>
    <n v="1"/>
    <n v="1"/>
    <n v="2"/>
    <s v="40-49"/>
  </r>
  <r>
    <n v="48"/>
    <x v="1"/>
    <s v="Travel_Rarely"/>
    <n v="1221"/>
    <x v="0"/>
    <n v="7"/>
    <n v="3"/>
    <s v="Marketing"/>
    <n v="1466"/>
    <n v="3"/>
    <s v="Male"/>
    <n v="96"/>
    <n v="3"/>
    <n v="2"/>
    <x v="0"/>
    <n v="1"/>
    <s v="Divorced"/>
    <n v="5486"/>
    <n v="24795"/>
    <n v="4"/>
    <x v="1"/>
    <n v="11"/>
    <n v="3"/>
    <n v="1"/>
    <n v="3"/>
    <n v="15"/>
    <n v="3"/>
    <n v="3"/>
    <n v="2"/>
    <n v="2"/>
    <n v="2"/>
    <n v="2"/>
    <s v="40-49"/>
  </r>
  <r>
    <n v="34"/>
    <x v="0"/>
    <s v="Travel_Rarely"/>
    <n v="1107"/>
    <x v="2"/>
    <n v="9"/>
    <n v="4"/>
    <s v="Technical Degree"/>
    <n v="1467"/>
    <n v="1"/>
    <s v="Female"/>
    <n v="52"/>
    <n v="3"/>
    <n v="1"/>
    <x v="8"/>
    <n v="3"/>
    <s v="Married"/>
    <n v="2742"/>
    <n v="3072"/>
    <n v="1"/>
    <x v="1"/>
    <n v="15"/>
    <n v="3"/>
    <n v="4"/>
    <n v="0"/>
    <n v="2"/>
    <n v="0"/>
    <n v="3"/>
    <n v="2"/>
    <n v="2"/>
    <n v="2"/>
    <n v="2"/>
    <s v="30-39"/>
  </r>
  <r>
    <n v="40"/>
    <x v="1"/>
    <s v="Non-Travel"/>
    <n v="218"/>
    <x v="1"/>
    <n v="8"/>
    <n v="1"/>
    <s v="Medical"/>
    <n v="1468"/>
    <n v="4"/>
    <s v="Male"/>
    <n v="55"/>
    <n v="2"/>
    <n v="3"/>
    <x v="7"/>
    <n v="2"/>
    <s v="Divorced"/>
    <n v="13757"/>
    <n v="25178"/>
    <n v="2"/>
    <x v="1"/>
    <n v="11"/>
    <n v="3"/>
    <n v="3"/>
    <n v="1"/>
    <n v="16"/>
    <n v="5"/>
    <n v="3"/>
    <n v="9"/>
    <n v="8"/>
    <n v="4"/>
    <n v="8"/>
    <s v="40-49"/>
  </r>
  <r>
    <n v="28"/>
    <x v="1"/>
    <s v="Travel_Rarely"/>
    <n v="866"/>
    <x v="0"/>
    <n v="5"/>
    <n v="3"/>
    <s v="Medical"/>
    <n v="1469"/>
    <n v="4"/>
    <s v="Male"/>
    <n v="84"/>
    <n v="3"/>
    <n v="2"/>
    <x v="0"/>
    <n v="1"/>
    <s v="Single"/>
    <n v="8463"/>
    <n v="23490"/>
    <n v="0"/>
    <x v="1"/>
    <n v="18"/>
    <n v="3"/>
    <n v="4"/>
    <n v="0"/>
    <n v="6"/>
    <n v="4"/>
    <n v="3"/>
    <n v="5"/>
    <n v="4"/>
    <n v="1"/>
    <n v="3"/>
    <s v="Below 30"/>
  </r>
  <r>
    <n v="44"/>
    <x v="1"/>
    <s v="Non-Travel"/>
    <n v="981"/>
    <x v="1"/>
    <n v="5"/>
    <n v="3"/>
    <s v="Life Sciences"/>
    <n v="1471"/>
    <n v="3"/>
    <s v="Male"/>
    <n v="90"/>
    <n v="2"/>
    <n v="1"/>
    <x v="2"/>
    <n v="3"/>
    <s v="Single"/>
    <n v="3162"/>
    <n v="7973"/>
    <n v="3"/>
    <x v="1"/>
    <n v="14"/>
    <n v="3"/>
    <n v="4"/>
    <n v="0"/>
    <n v="7"/>
    <n v="5"/>
    <n v="3"/>
    <n v="5"/>
    <n v="2"/>
    <n v="0"/>
    <n v="3"/>
    <s v="40-49"/>
  </r>
  <r>
    <n v="53"/>
    <x v="1"/>
    <s v="Travel_Rarely"/>
    <n v="447"/>
    <x v="1"/>
    <n v="2"/>
    <n v="3"/>
    <s v="Medical"/>
    <n v="1472"/>
    <n v="4"/>
    <s v="Male"/>
    <n v="39"/>
    <n v="4"/>
    <n v="4"/>
    <x v="7"/>
    <n v="2"/>
    <s v="Single"/>
    <n v="16598"/>
    <n v="19764"/>
    <n v="4"/>
    <x v="1"/>
    <n v="12"/>
    <n v="3"/>
    <n v="2"/>
    <n v="0"/>
    <n v="35"/>
    <n v="2"/>
    <n v="2"/>
    <n v="9"/>
    <n v="8"/>
    <n v="8"/>
    <n v="8"/>
    <s v="50+"/>
  </r>
  <r>
    <n v="49"/>
    <x v="1"/>
    <s v="Travel_Rarely"/>
    <n v="1495"/>
    <x v="1"/>
    <n v="5"/>
    <n v="4"/>
    <s v="Technical Degree"/>
    <n v="1473"/>
    <n v="1"/>
    <s v="Male"/>
    <n v="96"/>
    <n v="3"/>
    <n v="2"/>
    <x v="4"/>
    <n v="3"/>
    <s v="Married"/>
    <n v="6651"/>
    <n v="21534"/>
    <n v="2"/>
    <x v="1"/>
    <n v="14"/>
    <n v="3"/>
    <n v="2"/>
    <n v="1"/>
    <n v="20"/>
    <n v="0"/>
    <n v="2"/>
    <n v="3"/>
    <n v="2"/>
    <n v="1"/>
    <n v="2"/>
    <s v="40-49"/>
  </r>
  <r>
    <n v="40"/>
    <x v="1"/>
    <s v="Travel_Rarely"/>
    <n v="896"/>
    <x v="1"/>
    <n v="2"/>
    <n v="3"/>
    <s v="Medical"/>
    <n v="1474"/>
    <n v="3"/>
    <s v="Male"/>
    <n v="68"/>
    <n v="3"/>
    <n v="1"/>
    <x v="1"/>
    <n v="3"/>
    <s v="Divorced"/>
    <n v="2345"/>
    <n v="8045"/>
    <n v="2"/>
    <x v="1"/>
    <n v="14"/>
    <n v="3"/>
    <n v="3"/>
    <n v="1"/>
    <n v="8"/>
    <n v="3"/>
    <n v="4"/>
    <n v="3"/>
    <n v="1"/>
    <n v="1"/>
    <n v="2"/>
    <s v="40-49"/>
  </r>
  <r>
    <n v="44"/>
    <x v="1"/>
    <s v="Travel_Rarely"/>
    <n v="1467"/>
    <x v="1"/>
    <n v="20"/>
    <n v="3"/>
    <s v="Life Sciences"/>
    <n v="1475"/>
    <n v="4"/>
    <s v="Male"/>
    <n v="49"/>
    <n v="3"/>
    <n v="1"/>
    <x v="1"/>
    <n v="2"/>
    <s v="Single"/>
    <n v="3420"/>
    <n v="21158"/>
    <n v="1"/>
    <x v="1"/>
    <n v="13"/>
    <n v="3"/>
    <n v="3"/>
    <n v="0"/>
    <n v="6"/>
    <n v="3"/>
    <n v="2"/>
    <n v="5"/>
    <n v="2"/>
    <n v="1"/>
    <n v="3"/>
    <s v="40-49"/>
  </r>
  <r>
    <n v="33"/>
    <x v="1"/>
    <s v="Travel_Frequently"/>
    <n v="430"/>
    <x v="0"/>
    <n v="7"/>
    <n v="3"/>
    <s v="Medical"/>
    <n v="1477"/>
    <n v="4"/>
    <s v="Male"/>
    <n v="54"/>
    <n v="3"/>
    <n v="2"/>
    <x v="0"/>
    <n v="1"/>
    <s v="Married"/>
    <n v="4373"/>
    <n v="17456"/>
    <n v="0"/>
    <x v="1"/>
    <n v="14"/>
    <n v="3"/>
    <n v="1"/>
    <n v="2"/>
    <n v="5"/>
    <n v="2"/>
    <n v="3"/>
    <n v="4"/>
    <n v="3"/>
    <n v="0"/>
    <n v="3"/>
    <s v="30-39"/>
  </r>
  <r>
    <n v="34"/>
    <x v="1"/>
    <s v="Travel_Rarely"/>
    <n v="1326"/>
    <x v="0"/>
    <n v="3"/>
    <n v="3"/>
    <s v="Other"/>
    <n v="1478"/>
    <n v="4"/>
    <s v="Male"/>
    <n v="81"/>
    <n v="1"/>
    <n v="2"/>
    <x v="0"/>
    <n v="1"/>
    <s v="Single"/>
    <n v="4759"/>
    <n v="15891"/>
    <n v="3"/>
    <x v="1"/>
    <n v="18"/>
    <n v="3"/>
    <n v="4"/>
    <n v="0"/>
    <n v="15"/>
    <n v="2"/>
    <n v="3"/>
    <n v="13"/>
    <n v="9"/>
    <n v="3"/>
    <n v="12"/>
    <s v="30-39"/>
  </r>
  <r>
    <n v="30"/>
    <x v="1"/>
    <s v="Travel_Rarely"/>
    <n v="1358"/>
    <x v="0"/>
    <n v="16"/>
    <n v="1"/>
    <s v="Life Sciences"/>
    <n v="1479"/>
    <n v="4"/>
    <s v="Male"/>
    <n v="96"/>
    <n v="3"/>
    <n v="2"/>
    <x v="0"/>
    <n v="3"/>
    <s v="Married"/>
    <n v="5301"/>
    <n v="2939"/>
    <n v="8"/>
    <x v="1"/>
    <n v="15"/>
    <n v="3"/>
    <n v="3"/>
    <n v="2"/>
    <n v="4"/>
    <n v="2"/>
    <n v="2"/>
    <n v="2"/>
    <n v="1"/>
    <n v="2"/>
    <n v="2"/>
    <s v="30-39"/>
  </r>
  <r>
    <n v="42"/>
    <x v="1"/>
    <s v="Travel_Frequently"/>
    <n v="748"/>
    <x v="1"/>
    <n v="9"/>
    <n v="2"/>
    <s v="Medical"/>
    <n v="1480"/>
    <n v="1"/>
    <s v="Female"/>
    <n v="74"/>
    <n v="3"/>
    <n v="1"/>
    <x v="2"/>
    <n v="4"/>
    <s v="Single"/>
    <n v="3673"/>
    <n v="16458"/>
    <n v="1"/>
    <x v="1"/>
    <n v="13"/>
    <n v="3"/>
    <n v="3"/>
    <n v="0"/>
    <n v="12"/>
    <n v="3"/>
    <n v="3"/>
    <n v="12"/>
    <n v="9"/>
    <n v="5"/>
    <n v="8"/>
    <s v="40-49"/>
  </r>
  <r>
    <n v="44"/>
    <x v="1"/>
    <s v="Travel_Frequently"/>
    <n v="383"/>
    <x v="0"/>
    <n v="1"/>
    <n v="5"/>
    <s v="Marketing"/>
    <n v="1481"/>
    <n v="1"/>
    <s v="Female"/>
    <n v="79"/>
    <n v="3"/>
    <n v="2"/>
    <x v="0"/>
    <n v="3"/>
    <s v="Married"/>
    <n v="4768"/>
    <n v="9282"/>
    <n v="7"/>
    <x v="1"/>
    <n v="12"/>
    <n v="3"/>
    <n v="3"/>
    <n v="1"/>
    <n v="11"/>
    <n v="4"/>
    <n v="2"/>
    <n v="1"/>
    <n v="0"/>
    <n v="0"/>
    <n v="0"/>
    <s v="40-49"/>
  </r>
  <r>
    <n v="30"/>
    <x v="1"/>
    <s v="Non-Travel"/>
    <n v="990"/>
    <x v="1"/>
    <n v="7"/>
    <n v="3"/>
    <s v="Technical Degree"/>
    <n v="1482"/>
    <n v="3"/>
    <s v="Male"/>
    <n v="64"/>
    <n v="3"/>
    <n v="1"/>
    <x v="1"/>
    <n v="3"/>
    <s v="Divorced"/>
    <n v="1274"/>
    <n v="7152"/>
    <n v="1"/>
    <x v="1"/>
    <n v="13"/>
    <n v="3"/>
    <n v="2"/>
    <n v="2"/>
    <n v="1"/>
    <n v="2"/>
    <n v="2"/>
    <n v="1"/>
    <n v="0"/>
    <n v="0"/>
    <n v="0"/>
    <s v="30-39"/>
  </r>
  <r>
    <n v="57"/>
    <x v="1"/>
    <s v="Travel_Rarely"/>
    <n v="405"/>
    <x v="1"/>
    <n v="1"/>
    <n v="2"/>
    <s v="Life Sciences"/>
    <n v="1483"/>
    <n v="2"/>
    <s v="Male"/>
    <n v="93"/>
    <n v="4"/>
    <n v="2"/>
    <x v="1"/>
    <n v="3"/>
    <s v="Married"/>
    <n v="4900"/>
    <n v="2721"/>
    <n v="0"/>
    <x v="1"/>
    <n v="24"/>
    <n v="4"/>
    <n v="1"/>
    <n v="1"/>
    <n v="13"/>
    <n v="2"/>
    <n v="2"/>
    <n v="12"/>
    <n v="9"/>
    <n v="2"/>
    <n v="8"/>
    <s v="50+"/>
  </r>
  <r>
    <n v="49"/>
    <x v="1"/>
    <s v="Travel_Rarely"/>
    <n v="1490"/>
    <x v="1"/>
    <n v="7"/>
    <n v="4"/>
    <s v="Life Sciences"/>
    <n v="1484"/>
    <n v="3"/>
    <s v="Male"/>
    <n v="35"/>
    <n v="3"/>
    <n v="3"/>
    <x v="4"/>
    <n v="2"/>
    <s v="Divorced"/>
    <n v="10466"/>
    <n v="20948"/>
    <n v="3"/>
    <x v="1"/>
    <n v="14"/>
    <n v="3"/>
    <n v="2"/>
    <n v="2"/>
    <n v="29"/>
    <n v="3"/>
    <n v="3"/>
    <n v="8"/>
    <n v="7"/>
    <n v="0"/>
    <n v="7"/>
    <s v="40-49"/>
  </r>
  <r>
    <n v="34"/>
    <x v="1"/>
    <s v="Travel_Frequently"/>
    <n v="829"/>
    <x v="1"/>
    <n v="15"/>
    <n v="3"/>
    <s v="Medical"/>
    <n v="1485"/>
    <n v="2"/>
    <s v="Male"/>
    <n v="71"/>
    <n v="3"/>
    <n v="4"/>
    <x v="7"/>
    <n v="1"/>
    <s v="Divorced"/>
    <n v="17007"/>
    <n v="11929"/>
    <n v="7"/>
    <x v="1"/>
    <n v="14"/>
    <n v="3"/>
    <n v="4"/>
    <n v="2"/>
    <n v="16"/>
    <n v="3"/>
    <n v="2"/>
    <n v="14"/>
    <n v="8"/>
    <n v="6"/>
    <n v="9"/>
    <s v="30-39"/>
  </r>
  <r>
    <n v="28"/>
    <x v="0"/>
    <s v="Travel_Frequently"/>
    <n v="1496"/>
    <x v="0"/>
    <n v="1"/>
    <n v="3"/>
    <s v="Technical Degree"/>
    <n v="1486"/>
    <n v="1"/>
    <s v="Male"/>
    <n v="92"/>
    <n v="3"/>
    <n v="1"/>
    <x v="6"/>
    <n v="3"/>
    <s v="Married"/>
    <n v="2909"/>
    <n v="15747"/>
    <n v="3"/>
    <x v="1"/>
    <n v="15"/>
    <n v="3"/>
    <n v="4"/>
    <n v="1"/>
    <n v="5"/>
    <n v="3"/>
    <n v="4"/>
    <n v="3"/>
    <n v="2"/>
    <n v="1"/>
    <n v="2"/>
    <s v="Below 30"/>
  </r>
  <r>
    <n v="29"/>
    <x v="0"/>
    <s v="Travel_Frequently"/>
    <n v="115"/>
    <x v="0"/>
    <n v="13"/>
    <n v="3"/>
    <s v="Technical Degree"/>
    <n v="1487"/>
    <n v="1"/>
    <s v="Female"/>
    <n v="51"/>
    <n v="3"/>
    <n v="2"/>
    <x v="0"/>
    <n v="2"/>
    <s v="Single"/>
    <n v="5765"/>
    <n v="17485"/>
    <n v="5"/>
    <x v="1"/>
    <n v="11"/>
    <n v="3"/>
    <n v="1"/>
    <n v="0"/>
    <n v="7"/>
    <n v="4"/>
    <n v="1"/>
    <n v="5"/>
    <n v="3"/>
    <n v="0"/>
    <n v="0"/>
    <s v="Below 30"/>
  </r>
  <r>
    <n v="34"/>
    <x v="0"/>
    <s v="Travel_Rarely"/>
    <n v="790"/>
    <x v="0"/>
    <n v="24"/>
    <n v="4"/>
    <s v="Medical"/>
    <n v="1489"/>
    <n v="1"/>
    <s v="Female"/>
    <n v="40"/>
    <n v="2"/>
    <n v="2"/>
    <x v="0"/>
    <n v="2"/>
    <s v="Single"/>
    <n v="4599"/>
    <n v="7815"/>
    <n v="0"/>
    <x v="0"/>
    <n v="23"/>
    <n v="4"/>
    <n v="3"/>
    <n v="0"/>
    <n v="16"/>
    <n v="2"/>
    <n v="4"/>
    <n v="15"/>
    <n v="9"/>
    <n v="10"/>
    <n v="10"/>
    <s v="30-39"/>
  </r>
  <r>
    <n v="35"/>
    <x v="1"/>
    <s v="Travel_Rarely"/>
    <n v="660"/>
    <x v="0"/>
    <n v="7"/>
    <n v="1"/>
    <s v="Life Sciences"/>
    <n v="1492"/>
    <n v="4"/>
    <s v="Male"/>
    <n v="76"/>
    <n v="3"/>
    <n v="1"/>
    <x v="6"/>
    <n v="3"/>
    <s v="Married"/>
    <n v="2404"/>
    <n v="16192"/>
    <n v="1"/>
    <x v="1"/>
    <n v="13"/>
    <n v="3"/>
    <n v="1"/>
    <n v="1"/>
    <n v="1"/>
    <n v="3"/>
    <n v="3"/>
    <n v="1"/>
    <n v="0"/>
    <n v="0"/>
    <n v="0"/>
    <s v="30-39"/>
  </r>
  <r>
    <n v="24"/>
    <x v="0"/>
    <s v="Travel_Frequently"/>
    <n v="381"/>
    <x v="1"/>
    <n v="9"/>
    <n v="3"/>
    <s v="Medical"/>
    <n v="1494"/>
    <n v="2"/>
    <s v="Male"/>
    <n v="89"/>
    <n v="3"/>
    <n v="1"/>
    <x v="2"/>
    <n v="1"/>
    <s v="Single"/>
    <n v="3172"/>
    <n v="16998"/>
    <n v="2"/>
    <x v="0"/>
    <n v="11"/>
    <n v="3"/>
    <n v="3"/>
    <n v="0"/>
    <n v="4"/>
    <n v="2"/>
    <n v="2"/>
    <n v="0"/>
    <n v="0"/>
    <n v="0"/>
    <n v="0"/>
    <s v="Below 30"/>
  </r>
  <r>
    <n v="24"/>
    <x v="1"/>
    <s v="Non-Travel"/>
    <n v="830"/>
    <x v="0"/>
    <n v="13"/>
    <n v="2"/>
    <s v="Life Sciences"/>
    <n v="1495"/>
    <n v="4"/>
    <s v="Female"/>
    <n v="78"/>
    <n v="3"/>
    <n v="1"/>
    <x v="6"/>
    <n v="2"/>
    <s v="Married"/>
    <n v="2033"/>
    <n v="7103"/>
    <n v="1"/>
    <x v="1"/>
    <n v="13"/>
    <n v="3"/>
    <n v="3"/>
    <n v="1"/>
    <n v="1"/>
    <n v="2"/>
    <n v="3"/>
    <n v="1"/>
    <n v="0"/>
    <n v="0"/>
    <n v="0"/>
    <s v="Below 30"/>
  </r>
  <r>
    <n v="44"/>
    <x v="1"/>
    <s v="Travel_Frequently"/>
    <n v="1193"/>
    <x v="1"/>
    <n v="2"/>
    <n v="1"/>
    <s v="Medical"/>
    <n v="1496"/>
    <n v="2"/>
    <s v="Male"/>
    <n v="86"/>
    <n v="3"/>
    <n v="3"/>
    <x v="3"/>
    <n v="3"/>
    <s v="Single"/>
    <n v="10209"/>
    <n v="19719"/>
    <n v="5"/>
    <x v="0"/>
    <n v="18"/>
    <n v="3"/>
    <n v="2"/>
    <n v="0"/>
    <n v="16"/>
    <n v="2"/>
    <n v="2"/>
    <n v="2"/>
    <n v="2"/>
    <n v="2"/>
    <n v="2"/>
    <s v="40-49"/>
  </r>
  <r>
    <n v="29"/>
    <x v="1"/>
    <s v="Travel_Rarely"/>
    <n v="1246"/>
    <x v="0"/>
    <n v="19"/>
    <n v="3"/>
    <s v="Life Sciences"/>
    <n v="1497"/>
    <n v="3"/>
    <s v="Male"/>
    <n v="77"/>
    <n v="2"/>
    <n v="2"/>
    <x v="0"/>
    <n v="3"/>
    <s v="Divorced"/>
    <n v="8620"/>
    <n v="23757"/>
    <n v="1"/>
    <x v="1"/>
    <n v="14"/>
    <n v="3"/>
    <n v="3"/>
    <n v="2"/>
    <n v="10"/>
    <n v="3"/>
    <n v="3"/>
    <n v="10"/>
    <n v="7"/>
    <n v="0"/>
    <n v="4"/>
    <s v="Below 30"/>
  </r>
  <r>
    <n v="30"/>
    <x v="1"/>
    <s v="Travel_Rarely"/>
    <n v="330"/>
    <x v="2"/>
    <n v="1"/>
    <n v="3"/>
    <s v="Life Sciences"/>
    <n v="1499"/>
    <n v="3"/>
    <s v="Male"/>
    <n v="46"/>
    <n v="3"/>
    <n v="1"/>
    <x v="8"/>
    <n v="3"/>
    <s v="Divorced"/>
    <n v="2064"/>
    <n v="15428"/>
    <n v="0"/>
    <x v="1"/>
    <n v="21"/>
    <n v="4"/>
    <n v="1"/>
    <n v="1"/>
    <n v="6"/>
    <n v="3"/>
    <n v="4"/>
    <n v="5"/>
    <n v="3"/>
    <n v="1"/>
    <n v="3"/>
    <s v="30-39"/>
  </r>
  <r>
    <n v="55"/>
    <x v="1"/>
    <s v="Travel_Rarely"/>
    <n v="1229"/>
    <x v="1"/>
    <n v="4"/>
    <n v="4"/>
    <s v="Life Sciences"/>
    <n v="1501"/>
    <n v="4"/>
    <s v="Male"/>
    <n v="30"/>
    <n v="3"/>
    <n v="2"/>
    <x v="4"/>
    <n v="3"/>
    <s v="Married"/>
    <n v="4035"/>
    <n v="16143"/>
    <n v="0"/>
    <x v="0"/>
    <n v="16"/>
    <n v="3"/>
    <n v="2"/>
    <n v="0"/>
    <n v="4"/>
    <n v="2"/>
    <n v="3"/>
    <n v="3"/>
    <n v="2"/>
    <n v="1"/>
    <n v="2"/>
    <s v="50+"/>
  </r>
  <r>
    <n v="33"/>
    <x v="1"/>
    <s v="Travel_Rarely"/>
    <n v="1099"/>
    <x v="1"/>
    <n v="4"/>
    <n v="4"/>
    <s v="Medical"/>
    <n v="1502"/>
    <n v="1"/>
    <s v="Female"/>
    <n v="82"/>
    <n v="2"/>
    <n v="1"/>
    <x v="2"/>
    <n v="2"/>
    <s v="Married"/>
    <n v="3838"/>
    <n v="8192"/>
    <n v="8"/>
    <x v="1"/>
    <n v="11"/>
    <n v="3"/>
    <n v="4"/>
    <n v="0"/>
    <n v="8"/>
    <n v="5"/>
    <n v="3"/>
    <n v="5"/>
    <n v="4"/>
    <n v="0"/>
    <n v="2"/>
    <s v="30-39"/>
  </r>
  <r>
    <n v="47"/>
    <x v="1"/>
    <s v="Travel_Rarely"/>
    <n v="571"/>
    <x v="0"/>
    <n v="14"/>
    <n v="3"/>
    <s v="Medical"/>
    <n v="1503"/>
    <n v="3"/>
    <s v="Female"/>
    <n v="78"/>
    <n v="3"/>
    <n v="2"/>
    <x v="0"/>
    <n v="3"/>
    <s v="Married"/>
    <n v="4591"/>
    <n v="24200"/>
    <n v="3"/>
    <x v="0"/>
    <n v="17"/>
    <n v="3"/>
    <n v="3"/>
    <n v="1"/>
    <n v="11"/>
    <n v="4"/>
    <n v="2"/>
    <n v="5"/>
    <n v="4"/>
    <n v="1"/>
    <n v="2"/>
    <s v="40-49"/>
  </r>
  <r>
    <n v="28"/>
    <x v="0"/>
    <s v="Travel_Frequently"/>
    <n v="289"/>
    <x v="1"/>
    <n v="2"/>
    <n v="2"/>
    <s v="Medical"/>
    <n v="1504"/>
    <n v="3"/>
    <s v="Male"/>
    <n v="38"/>
    <n v="2"/>
    <n v="1"/>
    <x v="2"/>
    <n v="1"/>
    <s v="Single"/>
    <n v="2561"/>
    <n v="5355"/>
    <n v="7"/>
    <x v="1"/>
    <n v="11"/>
    <n v="3"/>
    <n v="3"/>
    <n v="0"/>
    <n v="8"/>
    <n v="2"/>
    <n v="2"/>
    <n v="0"/>
    <n v="0"/>
    <n v="0"/>
    <n v="0"/>
    <s v="Below 30"/>
  </r>
  <r>
    <n v="28"/>
    <x v="1"/>
    <s v="Travel_Rarely"/>
    <n v="1423"/>
    <x v="1"/>
    <n v="1"/>
    <n v="3"/>
    <s v="Life Sciences"/>
    <n v="1506"/>
    <n v="1"/>
    <s v="Male"/>
    <n v="72"/>
    <n v="2"/>
    <n v="1"/>
    <x v="1"/>
    <n v="3"/>
    <s v="Divorced"/>
    <n v="1563"/>
    <n v="12530"/>
    <n v="1"/>
    <x v="1"/>
    <n v="14"/>
    <n v="3"/>
    <n v="4"/>
    <n v="1"/>
    <n v="1"/>
    <n v="2"/>
    <n v="1"/>
    <n v="1"/>
    <n v="0"/>
    <n v="0"/>
    <n v="0"/>
    <s v="Below 30"/>
  </r>
  <r>
    <n v="28"/>
    <x v="1"/>
    <s v="Travel_Frequently"/>
    <n v="467"/>
    <x v="0"/>
    <n v="7"/>
    <n v="3"/>
    <s v="Life Sciences"/>
    <n v="1507"/>
    <n v="3"/>
    <s v="Male"/>
    <n v="55"/>
    <n v="3"/>
    <n v="2"/>
    <x v="0"/>
    <n v="1"/>
    <s v="Single"/>
    <n v="4898"/>
    <n v="11827"/>
    <n v="0"/>
    <x v="1"/>
    <n v="14"/>
    <n v="3"/>
    <n v="4"/>
    <n v="0"/>
    <n v="5"/>
    <n v="5"/>
    <n v="3"/>
    <n v="4"/>
    <n v="2"/>
    <n v="1"/>
    <n v="3"/>
    <s v="Below 30"/>
  </r>
  <r>
    <n v="49"/>
    <x v="1"/>
    <s v="Travel_Rarely"/>
    <n v="271"/>
    <x v="1"/>
    <n v="3"/>
    <n v="2"/>
    <s v="Medical"/>
    <n v="1509"/>
    <n v="3"/>
    <s v="Female"/>
    <n v="43"/>
    <n v="2"/>
    <n v="2"/>
    <x v="2"/>
    <n v="1"/>
    <s v="Married"/>
    <n v="4789"/>
    <n v="23070"/>
    <n v="4"/>
    <x v="1"/>
    <n v="25"/>
    <n v="4"/>
    <n v="1"/>
    <n v="1"/>
    <n v="10"/>
    <n v="3"/>
    <n v="3"/>
    <n v="3"/>
    <n v="2"/>
    <n v="1"/>
    <n v="2"/>
    <s v="40-49"/>
  </r>
  <r>
    <n v="29"/>
    <x v="1"/>
    <s v="Travel_Frequently"/>
    <n v="410"/>
    <x v="1"/>
    <n v="2"/>
    <n v="1"/>
    <s v="Life Sciences"/>
    <n v="1513"/>
    <n v="4"/>
    <s v="Female"/>
    <n v="97"/>
    <n v="3"/>
    <n v="1"/>
    <x v="2"/>
    <n v="2"/>
    <s v="Married"/>
    <n v="3180"/>
    <n v="4668"/>
    <n v="0"/>
    <x v="1"/>
    <n v="13"/>
    <n v="3"/>
    <n v="3"/>
    <n v="3"/>
    <n v="4"/>
    <n v="3"/>
    <n v="3"/>
    <n v="3"/>
    <n v="2"/>
    <n v="0"/>
    <n v="2"/>
    <s v="Below 30"/>
  </r>
  <r>
    <n v="28"/>
    <x v="1"/>
    <s v="Travel_Rarely"/>
    <n v="1083"/>
    <x v="1"/>
    <n v="29"/>
    <n v="1"/>
    <s v="Life Sciences"/>
    <n v="1514"/>
    <n v="3"/>
    <s v="Male"/>
    <n v="96"/>
    <n v="1"/>
    <n v="2"/>
    <x v="3"/>
    <n v="2"/>
    <s v="Married"/>
    <n v="6549"/>
    <n v="3173"/>
    <n v="1"/>
    <x v="1"/>
    <n v="14"/>
    <n v="3"/>
    <n v="2"/>
    <n v="2"/>
    <n v="8"/>
    <n v="2"/>
    <n v="2"/>
    <n v="8"/>
    <n v="6"/>
    <n v="1"/>
    <n v="7"/>
    <s v="Below 30"/>
  </r>
  <r>
    <n v="33"/>
    <x v="1"/>
    <s v="Travel_Rarely"/>
    <n v="516"/>
    <x v="1"/>
    <n v="8"/>
    <n v="5"/>
    <s v="Life Sciences"/>
    <n v="1515"/>
    <n v="4"/>
    <s v="Male"/>
    <n v="69"/>
    <n v="3"/>
    <n v="2"/>
    <x v="4"/>
    <n v="3"/>
    <s v="Single"/>
    <n v="6388"/>
    <n v="22049"/>
    <n v="2"/>
    <x v="0"/>
    <n v="17"/>
    <n v="3"/>
    <n v="1"/>
    <n v="0"/>
    <n v="14"/>
    <n v="6"/>
    <n v="3"/>
    <n v="0"/>
    <n v="0"/>
    <n v="0"/>
    <n v="0"/>
    <s v="30-39"/>
  </r>
  <r>
    <n v="32"/>
    <x v="1"/>
    <s v="Travel_Rarely"/>
    <n v="495"/>
    <x v="1"/>
    <n v="10"/>
    <n v="3"/>
    <s v="Medical"/>
    <n v="1516"/>
    <n v="3"/>
    <s v="Male"/>
    <n v="64"/>
    <n v="3"/>
    <n v="3"/>
    <x v="5"/>
    <n v="4"/>
    <s v="Single"/>
    <n v="11244"/>
    <n v="21072"/>
    <n v="2"/>
    <x v="1"/>
    <n v="25"/>
    <n v="4"/>
    <n v="2"/>
    <n v="0"/>
    <n v="10"/>
    <n v="5"/>
    <n v="4"/>
    <n v="5"/>
    <n v="2"/>
    <n v="0"/>
    <n v="0"/>
    <s v="30-39"/>
  </r>
  <r>
    <n v="54"/>
    <x v="1"/>
    <s v="Travel_Frequently"/>
    <n v="1050"/>
    <x v="1"/>
    <n v="11"/>
    <n v="4"/>
    <s v="Medical"/>
    <n v="1520"/>
    <n v="2"/>
    <s v="Female"/>
    <n v="87"/>
    <n v="3"/>
    <n v="4"/>
    <x v="5"/>
    <n v="4"/>
    <s v="Divorced"/>
    <n v="16032"/>
    <n v="24456"/>
    <n v="3"/>
    <x v="1"/>
    <n v="20"/>
    <n v="4"/>
    <n v="1"/>
    <n v="1"/>
    <n v="26"/>
    <n v="2"/>
    <n v="3"/>
    <n v="14"/>
    <n v="9"/>
    <n v="1"/>
    <n v="12"/>
    <s v="50+"/>
  </r>
  <r>
    <n v="29"/>
    <x v="0"/>
    <s v="Travel_Rarely"/>
    <n v="224"/>
    <x v="1"/>
    <n v="1"/>
    <n v="4"/>
    <s v="Technical Degree"/>
    <n v="1522"/>
    <n v="1"/>
    <s v="Male"/>
    <n v="100"/>
    <n v="2"/>
    <n v="1"/>
    <x v="1"/>
    <n v="1"/>
    <s v="Single"/>
    <n v="2362"/>
    <n v="7568"/>
    <n v="6"/>
    <x v="1"/>
    <n v="13"/>
    <n v="3"/>
    <n v="3"/>
    <n v="0"/>
    <n v="11"/>
    <n v="2"/>
    <n v="1"/>
    <n v="9"/>
    <n v="7"/>
    <n v="0"/>
    <n v="7"/>
    <s v="Below 30"/>
  </r>
  <r>
    <n v="44"/>
    <x v="1"/>
    <s v="Travel_Rarely"/>
    <n v="136"/>
    <x v="1"/>
    <n v="28"/>
    <n v="3"/>
    <s v="Life Sciences"/>
    <n v="1523"/>
    <n v="4"/>
    <s v="Male"/>
    <n v="32"/>
    <n v="3"/>
    <n v="4"/>
    <x v="7"/>
    <n v="1"/>
    <s v="Married"/>
    <n v="16328"/>
    <n v="22074"/>
    <n v="3"/>
    <x v="1"/>
    <n v="13"/>
    <n v="3"/>
    <n v="3"/>
    <n v="1"/>
    <n v="24"/>
    <n v="1"/>
    <n v="4"/>
    <n v="20"/>
    <n v="6"/>
    <n v="14"/>
    <n v="17"/>
    <s v="40-49"/>
  </r>
  <r>
    <n v="39"/>
    <x v="1"/>
    <s v="Travel_Rarely"/>
    <n v="1089"/>
    <x v="1"/>
    <n v="6"/>
    <n v="3"/>
    <s v="Life Sciences"/>
    <n v="1525"/>
    <n v="2"/>
    <s v="Female"/>
    <n v="32"/>
    <n v="3"/>
    <n v="3"/>
    <x v="3"/>
    <n v="2"/>
    <s v="Single"/>
    <n v="8376"/>
    <n v="9150"/>
    <n v="4"/>
    <x v="1"/>
    <n v="18"/>
    <n v="3"/>
    <n v="4"/>
    <n v="0"/>
    <n v="9"/>
    <n v="3"/>
    <n v="3"/>
    <n v="2"/>
    <n v="0"/>
    <n v="2"/>
    <n v="2"/>
    <s v="30-39"/>
  </r>
  <r>
    <n v="46"/>
    <x v="1"/>
    <s v="Travel_Rarely"/>
    <n v="228"/>
    <x v="0"/>
    <n v="3"/>
    <n v="3"/>
    <s v="Life Sciences"/>
    <n v="1527"/>
    <n v="3"/>
    <s v="Female"/>
    <n v="51"/>
    <n v="3"/>
    <n v="4"/>
    <x v="5"/>
    <n v="2"/>
    <s v="Married"/>
    <n v="16606"/>
    <n v="11380"/>
    <n v="8"/>
    <x v="1"/>
    <n v="12"/>
    <n v="3"/>
    <n v="4"/>
    <n v="1"/>
    <n v="23"/>
    <n v="2"/>
    <n v="4"/>
    <n v="13"/>
    <n v="12"/>
    <n v="5"/>
    <n v="1"/>
    <s v="40-49"/>
  </r>
  <r>
    <n v="35"/>
    <x v="1"/>
    <s v="Travel_Rarely"/>
    <n v="1029"/>
    <x v="1"/>
    <n v="16"/>
    <n v="3"/>
    <s v="Life Sciences"/>
    <n v="1529"/>
    <n v="4"/>
    <s v="Female"/>
    <n v="91"/>
    <n v="2"/>
    <n v="3"/>
    <x v="4"/>
    <n v="2"/>
    <s v="Single"/>
    <n v="8606"/>
    <n v="21195"/>
    <n v="1"/>
    <x v="1"/>
    <n v="19"/>
    <n v="3"/>
    <n v="4"/>
    <n v="0"/>
    <n v="11"/>
    <n v="3"/>
    <n v="1"/>
    <n v="11"/>
    <n v="8"/>
    <n v="3"/>
    <n v="3"/>
    <s v="30-39"/>
  </r>
  <r>
    <n v="23"/>
    <x v="1"/>
    <s v="Travel_Rarely"/>
    <n v="507"/>
    <x v="1"/>
    <n v="20"/>
    <n v="1"/>
    <s v="Life Sciences"/>
    <n v="1533"/>
    <n v="1"/>
    <s v="Male"/>
    <n v="97"/>
    <n v="3"/>
    <n v="2"/>
    <x v="2"/>
    <n v="3"/>
    <s v="Single"/>
    <n v="2272"/>
    <n v="24812"/>
    <n v="0"/>
    <x v="1"/>
    <n v="14"/>
    <n v="3"/>
    <n v="2"/>
    <n v="0"/>
    <n v="5"/>
    <n v="2"/>
    <n v="3"/>
    <n v="4"/>
    <n v="3"/>
    <n v="1"/>
    <n v="2"/>
    <s v="Below 30"/>
  </r>
  <r>
    <n v="40"/>
    <x v="0"/>
    <s v="Travel_Rarely"/>
    <n v="676"/>
    <x v="1"/>
    <n v="9"/>
    <n v="4"/>
    <s v="Life Sciences"/>
    <n v="1534"/>
    <n v="4"/>
    <s v="Male"/>
    <n v="86"/>
    <n v="3"/>
    <n v="1"/>
    <x v="2"/>
    <n v="1"/>
    <s v="Single"/>
    <n v="2018"/>
    <n v="21831"/>
    <n v="3"/>
    <x v="1"/>
    <n v="14"/>
    <n v="3"/>
    <n v="2"/>
    <n v="0"/>
    <n v="15"/>
    <n v="3"/>
    <n v="1"/>
    <n v="5"/>
    <n v="4"/>
    <n v="1"/>
    <n v="0"/>
    <s v="40-49"/>
  </r>
  <r>
    <n v="34"/>
    <x v="1"/>
    <s v="Travel_Rarely"/>
    <n v="971"/>
    <x v="0"/>
    <n v="1"/>
    <n v="3"/>
    <s v="Technical Degree"/>
    <n v="1535"/>
    <n v="4"/>
    <s v="Male"/>
    <n v="64"/>
    <n v="2"/>
    <n v="3"/>
    <x v="0"/>
    <n v="3"/>
    <s v="Married"/>
    <n v="7083"/>
    <n v="12288"/>
    <n v="1"/>
    <x v="0"/>
    <n v="14"/>
    <n v="3"/>
    <n v="4"/>
    <n v="0"/>
    <n v="10"/>
    <n v="3"/>
    <n v="3"/>
    <n v="10"/>
    <n v="9"/>
    <n v="8"/>
    <n v="6"/>
    <s v="30-39"/>
  </r>
  <r>
    <n v="31"/>
    <x v="0"/>
    <s v="Travel_Frequently"/>
    <n v="561"/>
    <x v="1"/>
    <n v="3"/>
    <n v="3"/>
    <s v="Life Sciences"/>
    <n v="1537"/>
    <n v="4"/>
    <s v="Female"/>
    <n v="33"/>
    <n v="3"/>
    <n v="1"/>
    <x v="1"/>
    <n v="3"/>
    <s v="Single"/>
    <n v="4084"/>
    <n v="4156"/>
    <n v="1"/>
    <x v="1"/>
    <n v="12"/>
    <n v="3"/>
    <n v="1"/>
    <n v="0"/>
    <n v="7"/>
    <n v="2"/>
    <n v="1"/>
    <n v="7"/>
    <n v="2"/>
    <n v="7"/>
    <n v="7"/>
    <s v="30-39"/>
  </r>
  <r>
    <n v="50"/>
    <x v="1"/>
    <s v="Travel_Frequently"/>
    <n v="333"/>
    <x v="1"/>
    <n v="22"/>
    <n v="5"/>
    <s v="Medical"/>
    <n v="1539"/>
    <n v="3"/>
    <s v="Male"/>
    <n v="88"/>
    <n v="1"/>
    <n v="4"/>
    <x v="7"/>
    <n v="4"/>
    <s v="Single"/>
    <n v="14411"/>
    <n v="24450"/>
    <n v="1"/>
    <x v="0"/>
    <n v="13"/>
    <n v="3"/>
    <n v="4"/>
    <n v="0"/>
    <n v="32"/>
    <n v="2"/>
    <n v="3"/>
    <n v="32"/>
    <n v="6"/>
    <n v="13"/>
    <n v="9"/>
    <s v="50+"/>
  </r>
  <r>
    <n v="34"/>
    <x v="1"/>
    <s v="Travel_Rarely"/>
    <n v="1440"/>
    <x v="0"/>
    <n v="7"/>
    <n v="2"/>
    <s v="Technical Degree"/>
    <n v="1541"/>
    <n v="2"/>
    <s v="Male"/>
    <n v="55"/>
    <n v="3"/>
    <n v="1"/>
    <x v="6"/>
    <n v="3"/>
    <s v="Married"/>
    <n v="2308"/>
    <n v="4944"/>
    <n v="0"/>
    <x v="0"/>
    <n v="25"/>
    <n v="4"/>
    <n v="2"/>
    <n v="1"/>
    <n v="12"/>
    <n v="4"/>
    <n v="3"/>
    <n v="11"/>
    <n v="10"/>
    <n v="5"/>
    <n v="7"/>
    <s v="30-39"/>
  </r>
  <r>
    <n v="42"/>
    <x v="1"/>
    <s v="Travel_Rarely"/>
    <n v="1210"/>
    <x v="1"/>
    <n v="2"/>
    <n v="3"/>
    <s v="Medical"/>
    <n v="1542"/>
    <n v="3"/>
    <s v="Male"/>
    <n v="68"/>
    <n v="2"/>
    <n v="1"/>
    <x v="2"/>
    <n v="2"/>
    <s v="Married"/>
    <n v="4841"/>
    <n v="24052"/>
    <n v="4"/>
    <x v="1"/>
    <n v="14"/>
    <n v="3"/>
    <n v="2"/>
    <n v="1"/>
    <n v="4"/>
    <n v="3"/>
    <n v="3"/>
    <n v="1"/>
    <n v="0"/>
    <n v="0"/>
    <n v="0"/>
    <s v="40-49"/>
  </r>
  <r>
    <n v="37"/>
    <x v="1"/>
    <s v="Travel_Rarely"/>
    <n v="674"/>
    <x v="1"/>
    <n v="13"/>
    <n v="3"/>
    <s v="Medical"/>
    <n v="1543"/>
    <n v="1"/>
    <s v="Male"/>
    <n v="47"/>
    <n v="3"/>
    <n v="2"/>
    <x v="1"/>
    <n v="4"/>
    <s v="Married"/>
    <n v="4285"/>
    <n v="3031"/>
    <n v="1"/>
    <x v="1"/>
    <n v="17"/>
    <n v="3"/>
    <n v="1"/>
    <n v="0"/>
    <n v="10"/>
    <n v="2"/>
    <n v="3"/>
    <n v="10"/>
    <n v="8"/>
    <n v="3"/>
    <n v="7"/>
    <s v="30-39"/>
  </r>
  <r>
    <n v="29"/>
    <x v="1"/>
    <s v="Travel_Rarely"/>
    <n v="441"/>
    <x v="1"/>
    <n v="8"/>
    <n v="1"/>
    <s v="Other"/>
    <n v="1544"/>
    <n v="3"/>
    <s v="Female"/>
    <n v="39"/>
    <n v="1"/>
    <n v="2"/>
    <x v="4"/>
    <n v="1"/>
    <s v="Married"/>
    <n v="9715"/>
    <n v="7288"/>
    <n v="3"/>
    <x v="1"/>
    <n v="13"/>
    <n v="3"/>
    <n v="3"/>
    <n v="1"/>
    <n v="9"/>
    <n v="3"/>
    <n v="3"/>
    <n v="7"/>
    <n v="7"/>
    <n v="0"/>
    <n v="7"/>
    <s v="Below 30"/>
  </r>
  <r>
    <n v="33"/>
    <x v="1"/>
    <s v="Travel_Rarely"/>
    <n v="575"/>
    <x v="1"/>
    <n v="25"/>
    <n v="3"/>
    <s v="Life Sciences"/>
    <n v="1545"/>
    <n v="4"/>
    <s v="Male"/>
    <n v="44"/>
    <n v="2"/>
    <n v="2"/>
    <x v="3"/>
    <n v="2"/>
    <s v="Single"/>
    <n v="4320"/>
    <n v="24152"/>
    <n v="1"/>
    <x v="1"/>
    <n v="13"/>
    <n v="3"/>
    <n v="4"/>
    <n v="0"/>
    <n v="5"/>
    <n v="2"/>
    <n v="3"/>
    <n v="5"/>
    <n v="3"/>
    <n v="0"/>
    <n v="2"/>
    <s v="30-39"/>
  </r>
  <r>
    <n v="45"/>
    <x v="1"/>
    <s v="Travel_Rarely"/>
    <n v="950"/>
    <x v="1"/>
    <n v="28"/>
    <n v="3"/>
    <s v="Technical Degree"/>
    <n v="1546"/>
    <n v="4"/>
    <s v="Male"/>
    <n v="97"/>
    <n v="3"/>
    <n v="1"/>
    <x v="1"/>
    <n v="4"/>
    <s v="Married"/>
    <n v="2132"/>
    <n v="4585"/>
    <n v="4"/>
    <x v="1"/>
    <n v="20"/>
    <n v="4"/>
    <n v="4"/>
    <n v="1"/>
    <n v="8"/>
    <n v="3"/>
    <n v="3"/>
    <n v="5"/>
    <n v="4"/>
    <n v="0"/>
    <n v="3"/>
    <s v="40-49"/>
  </r>
  <r>
    <n v="42"/>
    <x v="1"/>
    <s v="Travel_Frequently"/>
    <n v="288"/>
    <x v="1"/>
    <n v="2"/>
    <n v="3"/>
    <s v="Life Sciences"/>
    <n v="1547"/>
    <n v="4"/>
    <s v="Male"/>
    <n v="40"/>
    <n v="3"/>
    <n v="3"/>
    <x v="4"/>
    <n v="4"/>
    <s v="Married"/>
    <n v="10124"/>
    <n v="18611"/>
    <n v="2"/>
    <x v="0"/>
    <n v="14"/>
    <n v="3"/>
    <n v="3"/>
    <n v="1"/>
    <n v="24"/>
    <n v="3"/>
    <n v="1"/>
    <n v="20"/>
    <n v="8"/>
    <n v="13"/>
    <n v="9"/>
    <s v="40-49"/>
  </r>
  <r>
    <n v="40"/>
    <x v="1"/>
    <s v="Travel_Rarely"/>
    <n v="1342"/>
    <x v="0"/>
    <n v="9"/>
    <n v="2"/>
    <s v="Medical"/>
    <n v="1548"/>
    <n v="1"/>
    <s v="Male"/>
    <n v="47"/>
    <n v="3"/>
    <n v="2"/>
    <x v="0"/>
    <n v="1"/>
    <s v="Married"/>
    <n v="5473"/>
    <n v="19345"/>
    <n v="0"/>
    <x v="1"/>
    <n v="12"/>
    <n v="3"/>
    <n v="4"/>
    <n v="0"/>
    <n v="9"/>
    <n v="5"/>
    <n v="4"/>
    <n v="8"/>
    <n v="4"/>
    <n v="7"/>
    <n v="1"/>
    <s v="40-49"/>
  </r>
  <r>
    <n v="33"/>
    <x v="1"/>
    <s v="Travel_Rarely"/>
    <n v="589"/>
    <x v="1"/>
    <n v="28"/>
    <n v="4"/>
    <s v="Life Sciences"/>
    <n v="1549"/>
    <n v="2"/>
    <s v="Male"/>
    <n v="79"/>
    <n v="3"/>
    <n v="2"/>
    <x v="2"/>
    <n v="3"/>
    <s v="Married"/>
    <n v="5207"/>
    <n v="22949"/>
    <n v="1"/>
    <x v="0"/>
    <n v="12"/>
    <n v="3"/>
    <n v="2"/>
    <n v="1"/>
    <n v="15"/>
    <n v="3"/>
    <n v="3"/>
    <n v="15"/>
    <n v="14"/>
    <n v="5"/>
    <n v="7"/>
    <s v="30-39"/>
  </r>
  <r>
    <n v="40"/>
    <x v="1"/>
    <s v="Travel_Rarely"/>
    <n v="898"/>
    <x v="2"/>
    <n v="6"/>
    <n v="2"/>
    <s v="Medical"/>
    <n v="1550"/>
    <n v="3"/>
    <s v="Male"/>
    <n v="38"/>
    <n v="3"/>
    <n v="4"/>
    <x v="5"/>
    <n v="4"/>
    <s v="Single"/>
    <n v="16437"/>
    <n v="17381"/>
    <n v="1"/>
    <x v="0"/>
    <n v="21"/>
    <n v="4"/>
    <n v="4"/>
    <n v="0"/>
    <n v="21"/>
    <n v="2"/>
    <n v="3"/>
    <n v="21"/>
    <n v="7"/>
    <n v="7"/>
    <n v="7"/>
    <s v="40-49"/>
  </r>
  <r>
    <n v="24"/>
    <x v="1"/>
    <s v="Travel_Rarely"/>
    <n v="350"/>
    <x v="1"/>
    <n v="21"/>
    <n v="2"/>
    <s v="Technical Degree"/>
    <n v="1551"/>
    <n v="3"/>
    <s v="Male"/>
    <n v="57"/>
    <n v="2"/>
    <n v="1"/>
    <x v="2"/>
    <n v="1"/>
    <s v="Divorced"/>
    <n v="2296"/>
    <n v="10036"/>
    <n v="0"/>
    <x v="1"/>
    <n v="14"/>
    <n v="3"/>
    <n v="2"/>
    <n v="3"/>
    <n v="2"/>
    <n v="3"/>
    <n v="3"/>
    <n v="1"/>
    <n v="1"/>
    <n v="0"/>
    <n v="0"/>
    <s v="Below 30"/>
  </r>
  <r>
    <n v="40"/>
    <x v="1"/>
    <s v="Non-Travel"/>
    <n v="1142"/>
    <x v="1"/>
    <n v="8"/>
    <n v="2"/>
    <s v="Life Sciences"/>
    <n v="1552"/>
    <n v="4"/>
    <s v="Male"/>
    <n v="72"/>
    <n v="3"/>
    <n v="2"/>
    <x v="4"/>
    <n v="4"/>
    <s v="Divorced"/>
    <n v="4069"/>
    <n v="8841"/>
    <n v="3"/>
    <x v="0"/>
    <n v="18"/>
    <n v="3"/>
    <n v="3"/>
    <n v="0"/>
    <n v="8"/>
    <n v="2"/>
    <n v="3"/>
    <n v="2"/>
    <n v="2"/>
    <n v="2"/>
    <n v="2"/>
    <s v="40-49"/>
  </r>
  <r>
    <n v="45"/>
    <x v="1"/>
    <s v="Travel_Rarely"/>
    <n v="538"/>
    <x v="1"/>
    <n v="1"/>
    <n v="4"/>
    <s v="Technical Degree"/>
    <n v="1553"/>
    <n v="1"/>
    <s v="Male"/>
    <n v="66"/>
    <n v="3"/>
    <n v="3"/>
    <x v="4"/>
    <n v="2"/>
    <s v="Divorced"/>
    <n v="7441"/>
    <n v="20933"/>
    <n v="1"/>
    <x v="1"/>
    <n v="12"/>
    <n v="3"/>
    <n v="1"/>
    <n v="3"/>
    <n v="10"/>
    <n v="4"/>
    <n v="3"/>
    <n v="10"/>
    <n v="8"/>
    <n v="7"/>
    <n v="7"/>
    <s v="40-49"/>
  </r>
  <r>
    <n v="35"/>
    <x v="1"/>
    <s v="Travel_Rarely"/>
    <n v="1402"/>
    <x v="0"/>
    <n v="28"/>
    <n v="4"/>
    <s v="Life Sciences"/>
    <n v="1554"/>
    <n v="2"/>
    <s v="Female"/>
    <n v="98"/>
    <n v="2"/>
    <n v="1"/>
    <x v="6"/>
    <n v="3"/>
    <s v="Married"/>
    <n v="2430"/>
    <n v="26204"/>
    <n v="0"/>
    <x v="1"/>
    <n v="23"/>
    <n v="4"/>
    <n v="1"/>
    <n v="2"/>
    <n v="6"/>
    <n v="5"/>
    <n v="3"/>
    <n v="5"/>
    <n v="3"/>
    <n v="4"/>
    <n v="2"/>
    <s v="30-39"/>
  </r>
  <r>
    <n v="32"/>
    <x v="1"/>
    <s v="Travel_Rarely"/>
    <n v="824"/>
    <x v="1"/>
    <n v="5"/>
    <n v="2"/>
    <s v="Life Sciences"/>
    <n v="1555"/>
    <n v="4"/>
    <s v="Female"/>
    <n v="67"/>
    <n v="2"/>
    <n v="2"/>
    <x v="1"/>
    <n v="2"/>
    <s v="Married"/>
    <n v="5878"/>
    <n v="15624"/>
    <n v="3"/>
    <x v="1"/>
    <n v="12"/>
    <n v="3"/>
    <n v="1"/>
    <n v="1"/>
    <n v="12"/>
    <n v="2"/>
    <n v="3"/>
    <n v="7"/>
    <n v="1"/>
    <n v="2"/>
    <n v="5"/>
    <s v="30-39"/>
  </r>
  <r>
    <n v="36"/>
    <x v="1"/>
    <s v="Travel_Rarely"/>
    <n v="1157"/>
    <x v="0"/>
    <n v="2"/>
    <n v="4"/>
    <s v="Life Sciences"/>
    <n v="1556"/>
    <n v="3"/>
    <s v="Male"/>
    <n v="70"/>
    <n v="3"/>
    <n v="1"/>
    <x v="6"/>
    <n v="4"/>
    <s v="Single"/>
    <n v="2644"/>
    <n v="17001"/>
    <n v="3"/>
    <x v="0"/>
    <n v="21"/>
    <n v="4"/>
    <n v="4"/>
    <n v="0"/>
    <n v="7"/>
    <n v="3"/>
    <n v="2"/>
    <n v="3"/>
    <n v="2"/>
    <n v="1"/>
    <n v="2"/>
    <s v="30-39"/>
  </r>
  <r>
    <n v="48"/>
    <x v="1"/>
    <s v="Travel_Rarely"/>
    <n v="492"/>
    <x v="0"/>
    <n v="16"/>
    <n v="4"/>
    <s v="Life Sciences"/>
    <n v="1557"/>
    <n v="3"/>
    <s v="Female"/>
    <n v="96"/>
    <n v="3"/>
    <n v="2"/>
    <x v="0"/>
    <n v="3"/>
    <s v="Divorced"/>
    <n v="6439"/>
    <n v="13693"/>
    <n v="8"/>
    <x v="1"/>
    <n v="14"/>
    <n v="3"/>
    <n v="3"/>
    <n v="1"/>
    <n v="18"/>
    <n v="2"/>
    <n v="3"/>
    <n v="8"/>
    <n v="7"/>
    <n v="7"/>
    <n v="7"/>
    <s v="40-49"/>
  </r>
  <r>
    <n v="29"/>
    <x v="1"/>
    <s v="Travel_Rarely"/>
    <n v="598"/>
    <x v="1"/>
    <n v="9"/>
    <n v="3"/>
    <s v="Life Sciences"/>
    <n v="1558"/>
    <n v="3"/>
    <s v="Male"/>
    <n v="91"/>
    <n v="4"/>
    <n v="1"/>
    <x v="1"/>
    <n v="3"/>
    <s v="Married"/>
    <n v="2451"/>
    <n v="22376"/>
    <n v="6"/>
    <x v="1"/>
    <n v="18"/>
    <n v="3"/>
    <n v="1"/>
    <n v="2"/>
    <n v="5"/>
    <n v="2"/>
    <n v="2"/>
    <n v="1"/>
    <n v="0"/>
    <n v="0"/>
    <n v="0"/>
    <s v="Below 30"/>
  </r>
  <r>
    <n v="33"/>
    <x v="1"/>
    <s v="Travel_Rarely"/>
    <n v="1242"/>
    <x v="0"/>
    <n v="8"/>
    <n v="4"/>
    <s v="Life Sciences"/>
    <n v="1560"/>
    <n v="1"/>
    <s v="Male"/>
    <n v="46"/>
    <n v="3"/>
    <n v="2"/>
    <x v="0"/>
    <n v="1"/>
    <s v="Married"/>
    <n v="6392"/>
    <n v="10589"/>
    <n v="2"/>
    <x v="1"/>
    <n v="13"/>
    <n v="3"/>
    <n v="4"/>
    <n v="1"/>
    <n v="8"/>
    <n v="6"/>
    <n v="1"/>
    <n v="2"/>
    <n v="2"/>
    <n v="2"/>
    <n v="2"/>
    <s v="30-39"/>
  </r>
  <r>
    <n v="30"/>
    <x v="0"/>
    <s v="Travel_Rarely"/>
    <n v="740"/>
    <x v="0"/>
    <n v="1"/>
    <n v="3"/>
    <s v="Life Sciences"/>
    <n v="1562"/>
    <n v="2"/>
    <s v="Male"/>
    <n v="64"/>
    <n v="2"/>
    <n v="2"/>
    <x v="0"/>
    <n v="1"/>
    <s v="Married"/>
    <n v="9714"/>
    <n v="5323"/>
    <n v="1"/>
    <x v="1"/>
    <n v="11"/>
    <n v="3"/>
    <n v="4"/>
    <n v="1"/>
    <n v="10"/>
    <n v="4"/>
    <n v="3"/>
    <n v="10"/>
    <n v="8"/>
    <n v="6"/>
    <n v="7"/>
    <s v="30-39"/>
  </r>
  <r>
    <n v="38"/>
    <x v="1"/>
    <s v="Travel_Frequently"/>
    <n v="888"/>
    <x v="2"/>
    <n v="10"/>
    <n v="4"/>
    <s v="Human Resources"/>
    <n v="1563"/>
    <n v="3"/>
    <s v="Male"/>
    <n v="71"/>
    <n v="3"/>
    <n v="2"/>
    <x v="8"/>
    <n v="3"/>
    <s v="Married"/>
    <n v="6077"/>
    <n v="14814"/>
    <n v="3"/>
    <x v="1"/>
    <n v="11"/>
    <n v="3"/>
    <n v="3"/>
    <n v="0"/>
    <n v="10"/>
    <n v="2"/>
    <n v="3"/>
    <n v="6"/>
    <n v="3"/>
    <n v="1"/>
    <n v="2"/>
    <s v="30-39"/>
  </r>
  <r>
    <n v="35"/>
    <x v="1"/>
    <s v="Travel_Rarely"/>
    <n v="992"/>
    <x v="1"/>
    <n v="1"/>
    <n v="3"/>
    <s v="Medical"/>
    <n v="1564"/>
    <n v="4"/>
    <s v="Male"/>
    <n v="68"/>
    <n v="2"/>
    <n v="1"/>
    <x v="2"/>
    <n v="1"/>
    <s v="Single"/>
    <n v="2450"/>
    <n v="21731"/>
    <n v="1"/>
    <x v="1"/>
    <n v="19"/>
    <n v="3"/>
    <n v="2"/>
    <n v="0"/>
    <n v="3"/>
    <n v="3"/>
    <n v="3"/>
    <n v="3"/>
    <n v="0"/>
    <n v="1"/>
    <n v="2"/>
    <s v="30-39"/>
  </r>
  <r>
    <n v="30"/>
    <x v="1"/>
    <s v="Travel_Rarely"/>
    <n v="1288"/>
    <x v="0"/>
    <n v="29"/>
    <n v="4"/>
    <s v="Technical Degree"/>
    <n v="1568"/>
    <n v="3"/>
    <s v="Male"/>
    <n v="33"/>
    <n v="3"/>
    <n v="3"/>
    <x v="0"/>
    <n v="2"/>
    <s v="Married"/>
    <n v="9250"/>
    <n v="17799"/>
    <n v="3"/>
    <x v="1"/>
    <n v="12"/>
    <n v="3"/>
    <n v="2"/>
    <n v="1"/>
    <n v="9"/>
    <n v="3"/>
    <n v="3"/>
    <n v="4"/>
    <n v="2"/>
    <n v="1"/>
    <n v="3"/>
    <s v="30-39"/>
  </r>
  <r>
    <n v="35"/>
    <x v="0"/>
    <s v="Travel_Rarely"/>
    <n v="104"/>
    <x v="1"/>
    <n v="2"/>
    <n v="3"/>
    <s v="Life Sciences"/>
    <n v="1569"/>
    <n v="1"/>
    <s v="Female"/>
    <n v="69"/>
    <n v="3"/>
    <n v="1"/>
    <x v="2"/>
    <n v="1"/>
    <s v="Divorced"/>
    <n v="2074"/>
    <n v="26619"/>
    <n v="1"/>
    <x v="0"/>
    <n v="12"/>
    <n v="3"/>
    <n v="4"/>
    <n v="1"/>
    <n v="1"/>
    <n v="2"/>
    <n v="3"/>
    <n v="1"/>
    <n v="0"/>
    <n v="0"/>
    <n v="0"/>
    <s v="30-39"/>
  </r>
  <r>
    <n v="53"/>
    <x v="0"/>
    <s v="Travel_Rarely"/>
    <n v="607"/>
    <x v="1"/>
    <n v="2"/>
    <n v="5"/>
    <s v="Technical Degree"/>
    <n v="1572"/>
    <n v="3"/>
    <s v="Female"/>
    <n v="78"/>
    <n v="2"/>
    <n v="3"/>
    <x v="3"/>
    <n v="4"/>
    <s v="Married"/>
    <n v="10169"/>
    <n v="14618"/>
    <n v="0"/>
    <x v="1"/>
    <n v="16"/>
    <n v="3"/>
    <n v="2"/>
    <n v="1"/>
    <n v="34"/>
    <n v="4"/>
    <n v="3"/>
    <n v="33"/>
    <n v="7"/>
    <n v="1"/>
    <n v="9"/>
    <s v="50+"/>
  </r>
  <r>
    <n v="38"/>
    <x v="0"/>
    <s v="Travel_Rarely"/>
    <n v="903"/>
    <x v="1"/>
    <n v="2"/>
    <n v="3"/>
    <s v="Medical"/>
    <n v="1573"/>
    <n v="3"/>
    <s v="Male"/>
    <n v="81"/>
    <n v="3"/>
    <n v="2"/>
    <x v="3"/>
    <n v="2"/>
    <s v="Married"/>
    <n v="4855"/>
    <n v="7653"/>
    <n v="4"/>
    <x v="1"/>
    <n v="11"/>
    <n v="3"/>
    <n v="1"/>
    <n v="2"/>
    <n v="7"/>
    <n v="2"/>
    <n v="3"/>
    <n v="5"/>
    <n v="2"/>
    <n v="1"/>
    <n v="4"/>
    <s v="30-39"/>
  </r>
  <r>
    <n v="32"/>
    <x v="1"/>
    <s v="Non-Travel"/>
    <n v="1200"/>
    <x v="1"/>
    <n v="1"/>
    <n v="4"/>
    <s v="Technical Degree"/>
    <n v="1574"/>
    <n v="4"/>
    <s v="Male"/>
    <n v="62"/>
    <n v="3"/>
    <n v="2"/>
    <x v="1"/>
    <n v="1"/>
    <s v="Married"/>
    <n v="4087"/>
    <n v="25174"/>
    <n v="4"/>
    <x v="1"/>
    <n v="14"/>
    <n v="3"/>
    <n v="2"/>
    <n v="1"/>
    <n v="9"/>
    <n v="3"/>
    <n v="2"/>
    <n v="6"/>
    <n v="5"/>
    <n v="1"/>
    <n v="2"/>
    <s v="30-39"/>
  </r>
  <r>
    <n v="48"/>
    <x v="1"/>
    <s v="Travel_Rarely"/>
    <n v="1108"/>
    <x v="1"/>
    <n v="15"/>
    <n v="4"/>
    <s v="Other"/>
    <n v="1576"/>
    <n v="3"/>
    <s v="Female"/>
    <n v="65"/>
    <n v="3"/>
    <n v="1"/>
    <x v="1"/>
    <n v="1"/>
    <s v="Married"/>
    <n v="2367"/>
    <n v="16530"/>
    <n v="8"/>
    <x v="1"/>
    <n v="12"/>
    <n v="3"/>
    <n v="4"/>
    <n v="1"/>
    <n v="10"/>
    <n v="3"/>
    <n v="2"/>
    <n v="8"/>
    <n v="2"/>
    <n v="7"/>
    <n v="6"/>
    <s v="40-49"/>
  </r>
  <r>
    <n v="34"/>
    <x v="1"/>
    <s v="Travel_Rarely"/>
    <n v="479"/>
    <x v="1"/>
    <n v="7"/>
    <n v="4"/>
    <s v="Medical"/>
    <n v="1577"/>
    <n v="1"/>
    <s v="Male"/>
    <n v="35"/>
    <n v="3"/>
    <n v="1"/>
    <x v="1"/>
    <n v="4"/>
    <s v="Single"/>
    <n v="2972"/>
    <n v="22061"/>
    <n v="1"/>
    <x v="1"/>
    <n v="13"/>
    <n v="3"/>
    <n v="3"/>
    <n v="0"/>
    <n v="1"/>
    <n v="4"/>
    <n v="1"/>
    <n v="1"/>
    <n v="0"/>
    <n v="0"/>
    <n v="0"/>
    <s v="30-39"/>
  </r>
  <r>
    <n v="55"/>
    <x v="1"/>
    <s v="Travel_Rarely"/>
    <n v="685"/>
    <x v="0"/>
    <n v="26"/>
    <n v="5"/>
    <s v="Marketing"/>
    <n v="1578"/>
    <n v="3"/>
    <s v="Male"/>
    <n v="60"/>
    <n v="2"/>
    <n v="5"/>
    <x v="5"/>
    <n v="4"/>
    <s v="Married"/>
    <n v="19586"/>
    <n v="23037"/>
    <n v="1"/>
    <x v="1"/>
    <n v="21"/>
    <n v="4"/>
    <n v="3"/>
    <n v="1"/>
    <n v="36"/>
    <n v="3"/>
    <n v="3"/>
    <n v="36"/>
    <n v="6"/>
    <n v="2"/>
    <n v="13"/>
    <s v="50+"/>
  </r>
  <r>
    <n v="34"/>
    <x v="1"/>
    <s v="Travel_Rarely"/>
    <n v="1351"/>
    <x v="1"/>
    <n v="1"/>
    <n v="4"/>
    <s v="Life Sciences"/>
    <n v="1580"/>
    <n v="2"/>
    <s v="Male"/>
    <n v="45"/>
    <n v="3"/>
    <n v="2"/>
    <x v="1"/>
    <n v="4"/>
    <s v="Married"/>
    <n v="5484"/>
    <n v="13008"/>
    <n v="9"/>
    <x v="1"/>
    <n v="17"/>
    <n v="3"/>
    <n v="2"/>
    <n v="1"/>
    <n v="9"/>
    <n v="3"/>
    <n v="2"/>
    <n v="2"/>
    <n v="2"/>
    <n v="2"/>
    <n v="1"/>
    <s v="30-39"/>
  </r>
  <r>
    <n v="26"/>
    <x v="1"/>
    <s v="Travel_Rarely"/>
    <n v="474"/>
    <x v="1"/>
    <n v="3"/>
    <n v="3"/>
    <s v="Life Sciences"/>
    <n v="1581"/>
    <n v="1"/>
    <s v="Female"/>
    <n v="89"/>
    <n v="3"/>
    <n v="1"/>
    <x v="1"/>
    <n v="4"/>
    <s v="Married"/>
    <n v="2061"/>
    <n v="11133"/>
    <n v="1"/>
    <x v="1"/>
    <n v="21"/>
    <n v="4"/>
    <n v="1"/>
    <n v="0"/>
    <n v="1"/>
    <n v="5"/>
    <n v="3"/>
    <n v="1"/>
    <n v="0"/>
    <n v="0"/>
    <n v="0"/>
    <s v="Below 30"/>
  </r>
  <r>
    <n v="38"/>
    <x v="1"/>
    <s v="Travel_Rarely"/>
    <n v="1245"/>
    <x v="0"/>
    <n v="14"/>
    <n v="3"/>
    <s v="Life Sciences"/>
    <n v="1582"/>
    <n v="3"/>
    <s v="Male"/>
    <n v="80"/>
    <n v="3"/>
    <n v="2"/>
    <x v="0"/>
    <n v="2"/>
    <s v="Married"/>
    <n v="9924"/>
    <n v="12355"/>
    <n v="0"/>
    <x v="1"/>
    <n v="11"/>
    <n v="3"/>
    <n v="4"/>
    <n v="1"/>
    <n v="10"/>
    <n v="3"/>
    <n v="3"/>
    <n v="9"/>
    <n v="8"/>
    <n v="7"/>
    <n v="7"/>
    <s v="30-39"/>
  </r>
  <r>
    <n v="38"/>
    <x v="1"/>
    <s v="Travel_Rarely"/>
    <n v="437"/>
    <x v="0"/>
    <n v="16"/>
    <n v="3"/>
    <s v="Life Sciences"/>
    <n v="1583"/>
    <n v="2"/>
    <s v="Female"/>
    <n v="90"/>
    <n v="3"/>
    <n v="2"/>
    <x v="0"/>
    <n v="2"/>
    <s v="Single"/>
    <n v="4198"/>
    <n v="16379"/>
    <n v="2"/>
    <x v="1"/>
    <n v="12"/>
    <n v="3"/>
    <n v="2"/>
    <n v="0"/>
    <n v="8"/>
    <n v="5"/>
    <n v="4"/>
    <n v="3"/>
    <n v="2"/>
    <n v="1"/>
    <n v="2"/>
    <s v="30-39"/>
  </r>
  <r>
    <n v="36"/>
    <x v="1"/>
    <s v="Travel_Rarely"/>
    <n v="884"/>
    <x v="0"/>
    <n v="1"/>
    <n v="4"/>
    <s v="Life Sciences"/>
    <n v="1585"/>
    <n v="2"/>
    <s v="Female"/>
    <n v="73"/>
    <n v="3"/>
    <n v="2"/>
    <x v="0"/>
    <n v="3"/>
    <s v="Single"/>
    <n v="6815"/>
    <n v="21447"/>
    <n v="6"/>
    <x v="1"/>
    <n v="13"/>
    <n v="3"/>
    <n v="1"/>
    <n v="0"/>
    <n v="15"/>
    <n v="5"/>
    <n v="3"/>
    <n v="1"/>
    <n v="0"/>
    <n v="0"/>
    <n v="0"/>
    <s v="30-39"/>
  </r>
  <r>
    <n v="29"/>
    <x v="1"/>
    <s v="Travel_Rarely"/>
    <n v="1370"/>
    <x v="1"/>
    <n v="3"/>
    <n v="1"/>
    <s v="Medical"/>
    <n v="1586"/>
    <n v="2"/>
    <s v="Male"/>
    <n v="87"/>
    <n v="3"/>
    <n v="1"/>
    <x v="2"/>
    <n v="1"/>
    <s v="Single"/>
    <n v="4723"/>
    <n v="16213"/>
    <n v="1"/>
    <x v="0"/>
    <n v="18"/>
    <n v="3"/>
    <n v="4"/>
    <n v="0"/>
    <n v="10"/>
    <n v="3"/>
    <n v="3"/>
    <n v="10"/>
    <n v="9"/>
    <n v="1"/>
    <n v="5"/>
    <s v="Below 30"/>
  </r>
  <r>
    <n v="35"/>
    <x v="1"/>
    <s v="Travel_Rarely"/>
    <n v="670"/>
    <x v="1"/>
    <n v="10"/>
    <n v="4"/>
    <s v="Medical"/>
    <n v="1587"/>
    <n v="1"/>
    <s v="Female"/>
    <n v="51"/>
    <n v="3"/>
    <n v="2"/>
    <x v="4"/>
    <n v="3"/>
    <s v="Single"/>
    <n v="6142"/>
    <n v="4223"/>
    <n v="3"/>
    <x v="0"/>
    <n v="16"/>
    <n v="3"/>
    <n v="3"/>
    <n v="0"/>
    <n v="10"/>
    <n v="4"/>
    <n v="3"/>
    <n v="5"/>
    <n v="2"/>
    <n v="0"/>
    <n v="4"/>
    <s v="30-39"/>
  </r>
  <r>
    <n v="39"/>
    <x v="1"/>
    <s v="Travel_Rarely"/>
    <n v="1462"/>
    <x v="0"/>
    <n v="6"/>
    <n v="3"/>
    <s v="Medical"/>
    <n v="1588"/>
    <n v="4"/>
    <s v="Male"/>
    <n v="38"/>
    <n v="4"/>
    <n v="3"/>
    <x v="0"/>
    <n v="3"/>
    <s v="Married"/>
    <n v="8237"/>
    <n v="4658"/>
    <n v="2"/>
    <x v="1"/>
    <n v="11"/>
    <n v="3"/>
    <n v="1"/>
    <n v="1"/>
    <n v="11"/>
    <n v="3"/>
    <n v="3"/>
    <n v="7"/>
    <n v="6"/>
    <n v="7"/>
    <n v="6"/>
    <s v="30-39"/>
  </r>
  <r>
    <n v="29"/>
    <x v="1"/>
    <s v="Travel_Frequently"/>
    <n v="995"/>
    <x v="1"/>
    <n v="2"/>
    <n v="1"/>
    <s v="Life Sciences"/>
    <n v="1590"/>
    <n v="1"/>
    <s v="Male"/>
    <n v="87"/>
    <n v="3"/>
    <n v="2"/>
    <x v="4"/>
    <n v="4"/>
    <s v="Divorced"/>
    <n v="8853"/>
    <n v="24483"/>
    <n v="1"/>
    <x v="1"/>
    <n v="19"/>
    <n v="3"/>
    <n v="4"/>
    <n v="1"/>
    <n v="6"/>
    <n v="0"/>
    <n v="4"/>
    <n v="6"/>
    <n v="4"/>
    <n v="1"/>
    <n v="3"/>
    <s v="Below 30"/>
  </r>
  <r>
    <n v="50"/>
    <x v="1"/>
    <s v="Travel_Rarely"/>
    <n v="264"/>
    <x v="0"/>
    <n v="9"/>
    <n v="3"/>
    <s v="Marketing"/>
    <n v="1591"/>
    <n v="3"/>
    <s v="Male"/>
    <n v="59"/>
    <n v="3"/>
    <n v="5"/>
    <x v="5"/>
    <n v="3"/>
    <s v="Married"/>
    <n v="19331"/>
    <n v="19519"/>
    <n v="4"/>
    <x v="0"/>
    <n v="16"/>
    <n v="3"/>
    <n v="3"/>
    <n v="1"/>
    <n v="27"/>
    <n v="2"/>
    <n v="3"/>
    <n v="1"/>
    <n v="0"/>
    <n v="0"/>
    <n v="0"/>
    <s v="50+"/>
  </r>
  <r>
    <n v="23"/>
    <x v="1"/>
    <s v="Travel_Rarely"/>
    <n v="977"/>
    <x v="1"/>
    <n v="10"/>
    <n v="3"/>
    <s v="Technical Degree"/>
    <n v="1592"/>
    <n v="4"/>
    <s v="Male"/>
    <n v="45"/>
    <n v="4"/>
    <n v="1"/>
    <x v="1"/>
    <n v="3"/>
    <s v="Married"/>
    <n v="2073"/>
    <n v="12826"/>
    <n v="2"/>
    <x v="1"/>
    <n v="16"/>
    <n v="3"/>
    <n v="4"/>
    <n v="1"/>
    <n v="4"/>
    <n v="2"/>
    <n v="3"/>
    <n v="2"/>
    <n v="2"/>
    <n v="2"/>
    <n v="2"/>
    <s v="Below 30"/>
  </r>
  <r>
    <n v="36"/>
    <x v="1"/>
    <s v="Travel_Frequently"/>
    <n v="1302"/>
    <x v="1"/>
    <n v="6"/>
    <n v="4"/>
    <s v="Life Sciences"/>
    <n v="1594"/>
    <n v="1"/>
    <s v="Male"/>
    <n v="80"/>
    <n v="4"/>
    <n v="2"/>
    <x v="2"/>
    <n v="1"/>
    <s v="Married"/>
    <n v="5562"/>
    <n v="19711"/>
    <n v="3"/>
    <x v="0"/>
    <n v="13"/>
    <n v="3"/>
    <n v="4"/>
    <n v="1"/>
    <n v="9"/>
    <n v="3"/>
    <n v="3"/>
    <n v="3"/>
    <n v="2"/>
    <n v="0"/>
    <n v="2"/>
    <s v="30-39"/>
  </r>
  <r>
    <n v="42"/>
    <x v="1"/>
    <s v="Travel_Rarely"/>
    <n v="1059"/>
    <x v="1"/>
    <n v="9"/>
    <n v="2"/>
    <s v="Other"/>
    <n v="1595"/>
    <n v="4"/>
    <s v="Male"/>
    <n v="93"/>
    <n v="2"/>
    <n v="5"/>
    <x v="5"/>
    <n v="4"/>
    <s v="Single"/>
    <n v="19613"/>
    <n v="26362"/>
    <n v="8"/>
    <x v="1"/>
    <n v="22"/>
    <n v="4"/>
    <n v="4"/>
    <n v="0"/>
    <n v="24"/>
    <n v="2"/>
    <n v="3"/>
    <n v="1"/>
    <n v="0"/>
    <n v="0"/>
    <n v="1"/>
    <s v="40-49"/>
  </r>
  <r>
    <n v="35"/>
    <x v="1"/>
    <s v="Travel_Rarely"/>
    <n v="750"/>
    <x v="1"/>
    <n v="28"/>
    <n v="3"/>
    <s v="Life Sciences"/>
    <n v="1596"/>
    <n v="2"/>
    <s v="Male"/>
    <n v="46"/>
    <n v="4"/>
    <n v="2"/>
    <x v="2"/>
    <n v="3"/>
    <s v="Married"/>
    <n v="3407"/>
    <n v="25348"/>
    <n v="1"/>
    <x v="1"/>
    <n v="17"/>
    <n v="3"/>
    <n v="4"/>
    <n v="2"/>
    <n v="10"/>
    <n v="3"/>
    <n v="2"/>
    <n v="10"/>
    <n v="9"/>
    <n v="6"/>
    <n v="8"/>
    <s v="30-39"/>
  </r>
  <r>
    <n v="34"/>
    <x v="1"/>
    <s v="Travel_Frequently"/>
    <n v="653"/>
    <x v="1"/>
    <n v="10"/>
    <n v="4"/>
    <s v="Technical Degree"/>
    <n v="1597"/>
    <n v="4"/>
    <s v="Male"/>
    <n v="92"/>
    <n v="2"/>
    <n v="2"/>
    <x v="4"/>
    <n v="3"/>
    <s v="Married"/>
    <n v="5063"/>
    <n v="15332"/>
    <n v="1"/>
    <x v="1"/>
    <n v="14"/>
    <n v="3"/>
    <n v="2"/>
    <n v="1"/>
    <n v="8"/>
    <n v="3"/>
    <n v="2"/>
    <n v="8"/>
    <n v="2"/>
    <n v="7"/>
    <n v="7"/>
    <s v="30-39"/>
  </r>
  <r>
    <n v="40"/>
    <x v="1"/>
    <s v="Travel_Rarely"/>
    <n v="118"/>
    <x v="0"/>
    <n v="14"/>
    <n v="2"/>
    <s v="Life Sciences"/>
    <n v="1598"/>
    <n v="4"/>
    <s v="Female"/>
    <n v="84"/>
    <n v="3"/>
    <n v="2"/>
    <x v="0"/>
    <n v="1"/>
    <s v="Married"/>
    <n v="4639"/>
    <n v="11262"/>
    <n v="1"/>
    <x v="1"/>
    <n v="15"/>
    <n v="3"/>
    <n v="3"/>
    <n v="1"/>
    <n v="5"/>
    <n v="2"/>
    <n v="3"/>
    <n v="5"/>
    <n v="4"/>
    <n v="1"/>
    <n v="2"/>
    <s v="40-49"/>
  </r>
  <r>
    <n v="43"/>
    <x v="1"/>
    <s v="Travel_Rarely"/>
    <n v="990"/>
    <x v="1"/>
    <n v="27"/>
    <n v="3"/>
    <s v="Technical Degree"/>
    <n v="1599"/>
    <n v="4"/>
    <s v="Male"/>
    <n v="87"/>
    <n v="4"/>
    <n v="1"/>
    <x v="2"/>
    <n v="2"/>
    <s v="Divorced"/>
    <n v="4876"/>
    <n v="5855"/>
    <n v="5"/>
    <x v="1"/>
    <n v="12"/>
    <n v="3"/>
    <n v="3"/>
    <n v="1"/>
    <n v="8"/>
    <n v="0"/>
    <n v="3"/>
    <n v="6"/>
    <n v="4"/>
    <n v="0"/>
    <n v="2"/>
    <s v="40-49"/>
  </r>
  <r>
    <n v="35"/>
    <x v="1"/>
    <s v="Travel_Rarely"/>
    <n v="1349"/>
    <x v="1"/>
    <n v="7"/>
    <n v="2"/>
    <s v="Life Sciences"/>
    <n v="1601"/>
    <n v="3"/>
    <s v="Male"/>
    <n v="63"/>
    <n v="2"/>
    <n v="1"/>
    <x v="2"/>
    <n v="4"/>
    <s v="Married"/>
    <n v="2690"/>
    <n v="7713"/>
    <n v="1"/>
    <x v="1"/>
    <n v="18"/>
    <n v="3"/>
    <n v="4"/>
    <n v="1"/>
    <n v="1"/>
    <n v="5"/>
    <n v="2"/>
    <n v="1"/>
    <n v="0"/>
    <n v="0"/>
    <n v="1"/>
    <s v="30-39"/>
  </r>
  <r>
    <n v="46"/>
    <x v="1"/>
    <s v="Travel_Rarely"/>
    <n v="563"/>
    <x v="0"/>
    <n v="1"/>
    <n v="4"/>
    <s v="Life Sciences"/>
    <n v="1602"/>
    <n v="4"/>
    <s v="Male"/>
    <n v="56"/>
    <n v="4"/>
    <n v="4"/>
    <x v="5"/>
    <n v="1"/>
    <s v="Single"/>
    <n v="17567"/>
    <n v="3156"/>
    <n v="1"/>
    <x v="1"/>
    <n v="15"/>
    <n v="3"/>
    <n v="2"/>
    <n v="0"/>
    <n v="27"/>
    <n v="5"/>
    <n v="1"/>
    <n v="26"/>
    <n v="0"/>
    <n v="0"/>
    <n v="12"/>
    <s v="40-49"/>
  </r>
  <r>
    <n v="28"/>
    <x v="0"/>
    <s v="Travel_Rarely"/>
    <n v="329"/>
    <x v="1"/>
    <n v="24"/>
    <n v="3"/>
    <s v="Medical"/>
    <n v="1604"/>
    <n v="3"/>
    <s v="Male"/>
    <n v="51"/>
    <n v="3"/>
    <n v="1"/>
    <x v="2"/>
    <n v="2"/>
    <s v="Married"/>
    <n v="2408"/>
    <n v="7324"/>
    <n v="1"/>
    <x v="0"/>
    <n v="17"/>
    <n v="3"/>
    <n v="3"/>
    <n v="3"/>
    <n v="1"/>
    <n v="3"/>
    <n v="3"/>
    <n v="1"/>
    <n v="1"/>
    <n v="0"/>
    <n v="0"/>
    <s v="Below 30"/>
  </r>
  <r>
    <n v="22"/>
    <x v="1"/>
    <s v="Non-Travel"/>
    <n v="457"/>
    <x v="1"/>
    <n v="26"/>
    <n v="2"/>
    <s v="Other"/>
    <n v="1605"/>
    <n v="2"/>
    <s v="Female"/>
    <n v="85"/>
    <n v="2"/>
    <n v="1"/>
    <x v="1"/>
    <n v="3"/>
    <s v="Married"/>
    <n v="2814"/>
    <n v="10293"/>
    <n v="1"/>
    <x v="0"/>
    <n v="14"/>
    <n v="3"/>
    <n v="2"/>
    <n v="0"/>
    <n v="4"/>
    <n v="2"/>
    <n v="2"/>
    <n v="4"/>
    <n v="2"/>
    <n v="1"/>
    <n v="3"/>
    <s v="Below 30"/>
  </r>
  <r>
    <n v="50"/>
    <x v="1"/>
    <s v="Travel_Frequently"/>
    <n v="1234"/>
    <x v="1"/>
    <n v="20"/>
    <n v="5"/>
    <s v="Medical"/>
    <n v="1606"/>
    <n v="2"/>
    <s v="Male"/>
    <n v="41"/>
    <n v="3"/>
    <n v="4"/>
    <x v="4"/>
    <n v="3"/>
    <s v="Married"/>
    <n v="11245"/>
    <n v="20689"/>
    <n v="2"/>
    <x v="0"/>
    <n v="15"/>
    <n v="3"/>
    <n v="3"/>
    <n v="1"/>
    <n v="32"/>
    <n v="3"/>
    <n v="3"/>
    <n v="30"/>
    <n v="8"/>
    <n v="12"/>
    <n v="13"/>
    <s v="50+"/>
  </r>
  <r>
    <n v="32"/>
    <x v="1"/>
    <s v="Travel_Rarely"/>
    <n v="634"/>
    <x v="1"/>
    <n v="5"/>
    <n v="4"/>
    <s v="Other"/>
    <n v="1607"/>
    <n v="2"/>
    <s v="Female"/>
    <n v="35"/>
    <n v="4"/>
    <n v="1"/>
    <x v="1"/>
    <n v="4"/>
    <s v="Married"/>
    <n v="3312"/>
    <n v="18783"/>
    <n v="3"/>
    <x v="1"/>
    <n v="17"/>
    <n v="3"/>
    <n v="4"/>
    <n v="2"/>
    <n v="6"/>
    <n v="3"/>
    <n v="3"/>
    <n v="3"/>
    <n v="2"/>
    <n v="0"/>
    <n v="2"/>
    <s v="30-39"/>
  </r>
  <r>
    <n v="44"/>
    <x v="1"/>
    <s v="Travel_Rarely"/>
    <n v="1313"/>
    <x v="1"/>
    <n v="7"/>
    <n v="3"/>
    <s v="Medical"/>
    <n v="1608"/>
    <n v="2"/>
    <s v="Female"/>
    <n v="31"/>
    <n v="3"/>
    <n v="5"/>
    <x v="7"/>
    <n v="4"/>
    <s v="Divorced"/>
    <n v="19049"/>
    <n v="3549"/>
    <n v="0"/>
    <x v="0"/>
    <n v="14"/>
    <n v="3"/>
    <n v="4"/>
    <n v="1"/>
    <n v="23"/>
    <n v="4"/>
    <n v="2"/>
    <n v="22"/>
    <n v="7"/>
    <n v="1"/>
    <n v="10"/>
    <s v="40-49"/>
  </r>
  <r>
    <n v="30"/>
    <x v="1"/>
    <s v="Travel_Rarely"/>
    <n v="241"/>
    <x v="1"/>
    <n v="7"/>
    <n v="3"/>
    <s v="Medical"/>
    <n v="1609"/>
    <n v="2"/>
    <s v="Male"/>
    <n v="48"/>
    <n v="2"/>
    <n v="1"/>
    <x v="1"/>
    <n v="2"/>
    <s v="Married"/>
    <n v="2141"/>
    <n v="5348"/>
    <n v="1"/>
    <x v="1"/>
    <n v="12"/>
    <n v="3"/>
    <n v="2"/>
    <n v="1"/>
    <n v="6"/>
    <n v="3"/>
    <n v="2"/>
    <n v="6"/>
    <n v="4"/>
    <n v="1"/>
    <n v="1"/>
    <s v="30-39"/>
  </r>
  <r>
    <n v="45"/>
    <x v="1"/>
    <s v="Travel_Rarely"/>
    <n v="1015"/>
    <x v="1"/>
    <n v="5"/>
    <n v="5"/>
    <s v="Medical"/>
    <n v="1611"/>
    <n v="3"/>
    <s v="Female"/>
    <n v="50"/>
    <n v="1"/>
    <n v="2"/>
    <x v="2"/>
    <n v="1"/>
    <s v="Single"/>
    <n v="5769"/>
    <n v="23447"/>
    <n v="1"/>
    <x v="0"/>
    <n v="14"/>
    <n v="3"/>
    <n v="1"/>
    <n v="0"/>
    <n v="10"/>
    <n v="3"/>
    <n v="3"/>
    <n v="10"/>
    <n v="7"/>
    <n v="1"/>
    <n v="4"/>
    <s v="40-49"/>
  </r>
  <r>
    <n v="45"/>
    <x v="1"/>
    <s v="Non-Travel"/>
    <n v="336"/>
    <x v="0"/>
    <n v="26"/>
    <n v="3"/>
    <s v="Marketing"/>
    <n v="1612"/>
    <n v="1"/>
    <s v="Male"/>
    <n v="52"/>
    <n v="2"/>
    <n v="2"/>
    <x v="0"/>
    <n v="1"/>
    <s v="Married"/>
    <n v="4385"/>
    <n v="24162"/>
    <n v="1"/>
    <x v="1"/>
    <n v="15"/>
    <n v="3"/>
    <n v="1"/>
    <n v="1"/>
    <n v="10"/>
    <n v="2"/>
    <n v="3"/>
    <n v="10"/>
    <n v="7"/>
    <n v="4"/>
    <n v="5"/>
    <s v="40-49"/>
  </r>
  <r>
    <n v="31"/>
    <x v="1"/>
    <s v="Travel_Frequently"/>
    <n v="715"/>
    <x v="0"/>
    <n v="2"/>
    <n v="4"/>
    <s v="Other"/>
    <n v="1613"/>
    <n v="4"/>
    <s v="Male"/>
    <n v="54"/>
    <n v="3"/>
    <n v="2"/>
    <x v="0"/>
    <n v="1"/>
    <s v="Single"/>
    <n v="5332"/>
    <n v="21602"/>
    <n v="7"/>
    <x v="1"/>
    <n v="13"/>
    <n v="3"/>
    <n v="4"/>
    <n v="0"/>
    <n v="10"/>
    <n v="3"/>
    <n v="3"/>
    <n v="5"/>
    <n v="2"/>
    <n v="0"/>
    <n v="3"/>
    <s v="30-39"/>
  </r>
  <r>
    <n v="36"/>
    <x v="1"/>
    <s v="Travel_Rarely"/>
    <n v="559"/>
    <x v="1"/>
    <n v="12"/>
    <n v="4"/>
    <s v="Life Sciences"/>
    <n v="1614"/>
    <n v="3"/>
    <s v="Female"/>
    <n v="76"/>
    <n v="3"/>
    <n v="2"/>
    <x v="3"/>
    <n v="3"/>
    <s v="Married"/>
    <n v="4663"/>
    <n v="12421"/>
    <n v="9"/>
    <x v="0"/>
    <n v="12"/>
    <n v="3"/>
    <n v="2"/>
    <n v="2"/>
    <n v="7"/>
    <n v="2"/>
    <n v="3"/>
    <n v="3"/>
    <n v="2"/>
    <n v="1"/>
    <n v="1"/>
    <s v="30-39"/>
  </r>
  <r>
    <n v="34"/>
    <x v="1"/>
    <s v="Travel_Frequently"/>
    <n v="426"/>
    <x v="1"/>
    <n v="10"/>
    <n v="4"/>
    <s v="Life Sciences"/>
    <n v="1615"/>
    <n v="3"/>
    <s v="Male"/>
    <n v="42"/>
    <n v="4"/>
    <n v="2"/>
    <x v="3"/>
    <n v="4"/>
    <s v="Divorced"/>
    <n v="4724"/>
    <n v="17000"/>
    <n v="1"/>
    <x v="1"/>
    <n v="13"/>
    <n v="3"/>
    <n v="1"/>
    <n v="1"/>
    <n v="9"/>
    <n v="3"/>
    <n v="3"/>
    <n v="9"/>
    <n v="7"/>
    <n v="7"/>
    <n v="2"/>
    <s v="30-39"/>
  </r>
  <r>
    <n v="49"/>
    <x v="1"/>
    <s v="Travel_Rarely"/>
    <n v="722"/>
    <x v="1"/>
    <n v="25"/>
    <n v="4"/>
    <s v="Life Sciences"/>
    <n v="1617"/>
    <n v="3"/>
    <s v="Female"/>
    <n v="84"/>
    <n v="3"/>
    <n v="1"/>
    <x v="2"/>
    <n v="1"/>
    <s v="Married"/>
    <n v="3211"/>
    <n v="22102"/>
    <n v="1"/>
    <x v="1"/>
    <n v="14"/>
    <n v="3"/>
    <n v="4"/>
    <n v="1"/>
    <n v="10"/>
    <n v="3"/>
    <n v="2"/>
    <n v="9"/>
    <n v="6"/>
    <n v="1"/>
    <n v="4"/>
    <s v="40-49"/>
  </r>
  <r>
    <n v="39"/>
    <x v="1"/>
    <s v="Travel_Rarely"/>
    <n v="1387"/>
    <x v="1"/>
    <n v="10"/>
    <n v="5"/>
    <s v="Medical"/>
    <n v="1618"/>
    <n v="2"/>
    <s v="Male"/>
    <n v="76"/>
    <n v="3"/>
    <n v="2"/>
    <x v="3"/>
    <n v="1"/>
    <s v="Married"/>
    <n v="5377"/>
    <n v="3835"/>
    <n v="2"/>
    <x v="1"/>
    <n v="13"/>
    <n v="3"/>
    <n v="4"/>
    <n v="3"/>
    <n v="10"/>
    <n v="3"/>
    <n v="3"/>
    <n v="7"/>
    <n v="7"/>
    <n v="7"/>
    <n v="7"/>
    <s v="30-39"/>
  </r>
  <r>
    <n v="27"/>
    <x v="1"/>
    <s v="Travel_Rarely"/>
    <n v="1302"/>
    <x v="1"/>
    <n v="19"/>
    <n v="3"/>
    <s v="Other"/>
    <n v="1619"/>
    <n v="4"/>
    <s v="Male"/>
    <n v="67"/>
    <n v="2"/>
    <n v="1"/>
    <x v="2"/>
    <n v="1"/>
    <s v="Divorced"/>
    <n v="4066"/>
    <n v="16290"/>
    <n v="1"/>
    <x v="1"/>
    <n v="11"/>
    <n v="3"/>
    <n v="1"/>
    <n v="2"/>
    <n v="7"/>
    <n v="3"/>
    <n v="3"/>
    <n v="7"/>
    <n v="7"/>
    <n v="0"/>
    <n v="7"/>
    <s v="Below 30"/>
  </r>
  <r>
    <n v="35"/>
    <x v="1"/>
    <s v="Travel_Rarely"/>
    <n v="819"/>
    <x v="1"/>
    <n v="18"/>
    <n v="5"/>
    <s v="Life Sciences"/>
    <n v="1621"/>
    <n v="2"/>
    <s v="Male"/>
    <n v="48"/>
    <n v="4"/>
    <n v="2"/>
    <x v="1"/>
    <n v="1"/>
    <s v="Married"/>
    <n v="5208"/>
    <n v="26312"/>
    <n v="1"/>
    <x v="1"/>
    <n v="11"/>
    <n v="3"/>
    <n v="4"/>
    <n v="0"/>
    <n v="16"/>
    <n v="2"/>
    <n v="3"/>
    <n v="16"/>
    <n v="15"/>
    <n v="1"/>
    <n v="10"/>
    <s v="30-39"/>
  </r>
  <r>
    <n v="28"/>
    <x v="1"/>
    <s v="Travel_Rarely"/>
    <n v="580"/>
    <x v="1"/>
    <n v="27"/>
    <n v="3"/>
    <s v="Medical"/>
    <n v="1622"/>
    <n v="2"/>
    <s v="Female"/>
    <n v="39"/>
    <n v="1"/>
    <n v="2"/>
    <x v="3"/>
    <n v="1"/>
    <s v="Divorced"/>
    <n v="4877"/>
    <n v="20460"/>
    <n v="0"/>
    <x v="1"/>
    <n v="21"/>
    <n v="4"/>
    <n v="2"/>
    <n v="1"/>
    <n v="6"/>
    <n v="5"/>
    <n v="2"/>
    <n v="5"/>
    <n v="3"/>
    <n v="0"/>
    <n v="0"/>
    <s v="Below 30"/>
  </r>
  <r>
    <n v="21"/>
    <x v="1"/>
    <s v="Travel_Rarely"/>
    <n v="546"/>
    <x v="1"/>
    <n v="5"/>
    <n v="1"/>
    <s v="Medical"/>
    <n v="1623"/>
    <n v="3"/>
    <s v="Male"/>
    <n v="97"/>
    <n v="3"/>
    <n v="1"/>
    <x v="1"/>
    <n v="4"/>
    <s v="Single"/>
    <n v="3117"/>
    <n v="26009"/>
    <n v="1"/>
    <x v="1"/>
    <n v="18"/>
    <n v="3"/>
    <n v="3"/>
    <n v="0"/>
    <n v="3"/>
    <n v="2"/>
    <n v="3"/>
    <n v="2"/>
    <n v="2"/>
    <n v="2"/>
    <n v="2"/>
    <s v="Below 30"/>
  </r>
  <r>
    <n v="18"/>
    <x v="0"/>
    <s v="Travel_Frequently"/>
    <n v="544"/>
    <x v="0"/>
    <n v="3"/>
    <n v="2"/>
    <s v="Medical"/>
    <n v="1624"/>
    <n v="2"/>
    <s v="Female"/>
    <n v="70"/>
    <n v="3"/>
    <n v="1"/>
    <x v="6"/>
    <n v="4"/>
    <s v="Single"/>
    <n v="1569"/>
    <n v="18420"/>
    <n v="1"/>
    <x v="0"/>
    <n v="12"/>
    <n v="3"/>
    <n v="3"/>
    <n v="0"/>
    <n v="0"/>
    <n v="2"/>
    <n v="4"/>
    <n v="0"/>
    <n v="0"/>
    <n v="0"/>
    <n v="0"/>
    <s v="Below 30"/>
  </r>
  <r>
    <n v="47"/>
    <x v="1"/>
    <s v="Travel_Rarely"/>
    <n v="1176"/>
    <x v="2"/>
    <n v="26"/>
    <n v="4"/>
    <s v="Life Sciences"/>
    <n v="1625"/>
    <n v="4"/>
    <s v="Female"/>
    <n v="98"/>
    <n v="3"/>
    <n v="5"/>
    <x v="5"/>
    <n v="3"/>
    <s v="Married"/>
    <n v="19658"/>
    <n v="5220"/>
    <n v="3"/>
    <x v="1"/>
    <n v="11"/>
    <n v="3"/>
    <n v="3"/>
    <n v="1"/>
    <n v="27"/>
    <n v="2"/>
    <n v="3"/>
    <n v="5"/>
    <n v="2"/>
    <n v="1"/>
    <n v="0"/>
    <s v="40-49"/>
  </r>
  <r>
    <n v="39"/>
    <x v="1"/>
    <s v="Travel_Rarely"/>
    <n v="170"/>
    <x v="1"/>
    <n v="3"/>
    <n v="2"/>
    <s v="Medical"/>
    <n v="1627"/>
    <n v="3"/>
    <s v="Male"/>
    <n v="76"/>
    <n v="2"/>
    <n v="2"/>
    <x v="2"/>
    <n v="3"/>
    <s v="Divorced"/>
    <n v="3069"/>
    <n v="10302"/>
    <n v="0"/>
    <x v="1"/>
    <n v="15"/>
    <n v="3"/>
    <n v="4"/>
    <n v="1"/>
    <n v="11"/>
    <n v="3"/>
    <n v="3"/>
    <n v="10"/>
    <n v="8"/>
    <n v="0"/>
    <n v="7"/>
    <s v="30-39"/>
  </r>
  <r>
    <n v="40"/>
    <x v="1"/>
    <s v="Travel_Rarely"/>
    <n v="884"/>
    <x v="1"/>
    <n v="15"/>
    <n v="3"/>
    <s v="Life Sciences"/>
    <n v="1628"/>
    <n v="1"/>
    <s v="Female"/>
    <n v="80"/>
    <n v="2"/>
    <n v="3"/>
    <x v="3"/>
    <n v="3"/>
    <s v="Married"/>
    <n v="10435"/>
    <n v="25800"/>
    <n v="1"/>
    <x v="1"/>
    <n v="13"/>
    <n v="3"/>
    <n v="4"/>
    <n v="2"/>
    <n v="18"/>
    <n v="2"/>
    <n v="3"/>
    <n v="18"/>
    <n v="15"/>
    <n v="14"/>
    <n v="12"/>
    <s v="40-49"/>
  </r>
  <r>
    <n v="35"/>
    <x v="1"/>
    <s v="Non-Travel"/>
    <n v="208"/>
    <x v="1"/>
    <n v="8"/>
    <n v="4"/>
    <s v="Life Sciences"/>
    <n v="1630"/>
    <n v="3"/>
    <s v="Female"/>
    <n v="52"/>
    <n v="3"/>
    <n v="2"/>
    <x v="4"/>
    <n v="3"/>
    <s v="Married"/>
    <n v="4148"/>
    <n v="12250"/>
    <n v="1"/>
    <x v="1"/>
    <n v="12"/>
    <n v="3"/>
    <n v="4"/>
    <n v="1"/>
    <n v="15"/>
    <n v="5"/>
    <n v="3"/>
    <n v="14"/>
    <n v="11"/>
    <n v="2"/>
    <n v="9"/>
    <s v="30-39"/>
  </r>
  <r>
    <n v="37"/>
    <x v="1"/>
    <s v="Travel_Rarely"/>
    <n v="671"/>
    <x v="1"/>
    <n v="19"/>
    <n v="3"/>
    <s v="Life Sciences"/>
    <n v="1631"/>
    <n v="3"/>
    <s v="Male"/>
    <n v="85"/>
    <n v="3"/>
    <n v="2"/>
    <x v="3"/>
    <n v="3"/>
    <s v="Married"/>
    <n v="5768"/>
    <n v="26493"/>
    <n v="3"/>
    <x v="1"/>
    <n v="17"/>
    <n v="3"/>
    <n v="1"/>
    <n v="3"/>
    <n v="9"/>
    <n v="2"/>
    <n v="2"/>
    <n v="4"/>
    <n v="3"/>
    <n v="0"/>
    <n v="2"/>
    <s v="30-39"/>
  </r>
  <r>
    <n v="39"/>
    <x v="1"/>
    <s v="Travel_Frequently"/>
    <n v="711"/>
    <x v="1"/>
    <n v="4"/>
    <n v="3"/>
    <s v="Medical"/>
    <n v="1633"/>
    <n v="1"/>
    <s v="Female"/>
    <n v="81"/>
    <n v="3"/>
    <n v="2"/>
    <x v="3"/>
    <n v="3"/>
    <s v="Single"/>
    <n v="5042"/>
    <n v="3140"/>
    <n v="0"/>
    <x v="1"/>
    <n v="13"/>
    <n v="3"/>
    <n v="4"/>
    <n v="0"/>
    <n v="10"/>
    <n v="2"/>
    <n v="1"/>
    <n v="9"/>
    <n v="2"/>
    <n v="3"/>
    <n v="8"/>
    <s v="30-39"/>
  </r>
  <r>
    <n v="45"/>
    <x v="1"/>
    <s v="Travel_Rarely"/>
    <n v="1329"/>
    <x v="1"/>
    <n v="2"/>
    <n v="2"/>
    <s v="Other"/>
    <n v="1635"/>
    <n v="4"/>
    <s v="Female"/>
    <n v="59"/>
    <n v="2"/>
    <n v="2"/>
    <x v="3"/>
    <n v="4"/>
    <s v="Divorced"/>
    <n v="5770"/>
    <n v="5388"/>
    <n v="1"/>
    <x v="1"/>
    <n v="19"/>
    <n v="3"/>
    <n v="1"/>
    <n v="2"/>
    <n v="10"/>
    <n v="3"/>
    <n v="3"/>
    <n v="10"/>
    <n v="7"/>
    <n v="3"/>
    <n v="9"/>
    <s v="40-49"/>
  </r>
  <r>
    <n v="38"/>
    <x v="1"/>
    <s v="Travel_Rarely"/>
    <n v="397"/>
    <x v="1"/>
    <n v="2"/>
    <n v="2"/>
    <s v="Medical"/>
    <n v="1638"/>
    <n v="4"/>
    <s v="Female"/>
    <n v="54"/>
    <n v="2"/>
    <n v="3"/>
    <x v="3"/>
    <n v="3"/>
    <s v="Married"/>
    <n v="7756"/>
    <n v="14199"/>
    <n v="3"/>
    <x v="0"/>
    <n v="19"/>
    <n v="3"/>
    <n v="4"/>
    <n v="1"/>
    <n v="10"/>
    <n v="6"/>
    <n v="4"/>
    <n v="5"/>
    <n v="4"/>
    <n v="0"/>
    <n v="2"/>
    <s v="30-39"/>
  </r>
  <r>
    <n v="35"/>
    <x v="0"/>
    <s v="Travel_Rarely"/>
    <n v="737"/>
    <x v="0"/>
    <n v="10"/>
    <n v="3"/>
    <s v="Medical"/>
    <n v="1639"/>
    <n v="4"/>
    <s v="Male"/>
    <n v="55"/>
    <n v="2"/>
    <n v="3"/>
    <x v="0"/>
    <n v="1"/>
    <s v="Married"/>
    <n v="10306"/>
    <n v="21530"/>
    <n v="9"/>
    <x v="1"/>
    <n v="17"/>
    <n v="3"/>
    <n v="3"/>
    <n v="0"/>
    <n v="15"/>
    <n v="3"/>
    <n v="3"/>
    <n v="13"/>
    <n v="12"/>
    <n v="6"/>
    <n v="0"/>
    <s v="30-39"/>
  </r>
  <r>
    <n v="37"/>
    <x v="1"/>
    <s v="Travel_Rarely"/>
    <n v="1470"/>
    <x v="1"/>
    <n v="10"/>
    <n v="3"/>
    <s v="Medical"/>
    <n v="1640"/>
    <n v="2"/>
    <s v="Female"/>
    <n v="71"/>
    <n v="3"/>
    <n v="1"/>
    <x v="1"/>
    <n v="2"/>
    <s v="Married"/>
    <n v="3936"/>
    <n v="9953"/>
    <n v="1"/>
    <x v="1"/>
    <n v="11"/>
    <n v="3"/>
    <n v="1"/>
    <n v="1"/>
    <n v="8"/>
    <n v="2"/>
    <n v="1"/>
    <n v="8"/>
    <n v="4"/>
    <n v="7"/>
    <n v="7"/>
    <s v="30-39"/>
  </r>
  <r>
    <n v="40"/>
    <x v="1"/>
    <s v="Travel_Rarely"/>
    <n v="448"/>
    <x v="1"/>
    <n v="16"/>
    <n v="3"/>
    <s v="Life Sciences"/>
    <n v="1641"/>
    <n v="3"/>
    <s v="Female"/>
    <n v="84"/>
    <n v="3"/>
    <n v="3"/>
    <x v="3"/>
    <n v="4"/>
    <s v="Single"/>
    <n v="7945"/>
    <n v="19948"/>
    <n v="6"/>
    <x v="0"/>
    <n v="15"/>
    <n v="3"/>
    <n v="4"/>
    <n v="0"/>
    <n v="18"/>
    <n v="2"/>
    <n v="2"/>
    <n v="4"/>
    <n v="2"/>
    <n v="3"/>
    <n v="3"/>
    <s v="40-49"/>
  </r>
  <r>
    <n v="44"/>
    <x v="1"/>
    <s v="Travel_Frequently"/>
    <n v="602"/>
    <x v="2"/>
    <n v="1"/>
    <n v="5"/>
    <s v="Human Resources"/>
    <n v="1642"/>
    <n v="1"/>
    <s v="Male"/>
    <n v="37"/>
    <n v="3"/>
    <n v="2"/>
    <x v="8"/>
    <n v="4"/>
    <s v="Married"/>
    <n v="5743"/>
    <n v="10503"/>
    <n v="4"/>
    <x v="0"/>
    <n v="11"/>
    <n v="3"/>
    <n v="3"/>
    <n v="0"/>
    <n v="14"/>
    <n v="3"/>
    <n v="3"/>
    <n v="10"/>
    <n v="7"/>
    <n v="0"/>
    <n v="2"/>
    <s v="40-49"/>
  </r>
  <r>
    <n v="48"/>
    <x v="1"/>
    <s v="Travel_Frequently"/>
    <n v="365"/>
    <x v="1"/>
    <n v="4"/>
    <n v="5"/>
    <s v="Medical"/>
    <n v="1644"/>
    <n v="3"/>
    <s v="Male"/>
    <n v="89"/>
    <n v="2"/>
    <n v="4"/>
    <x v="5"/>
    <n v="4"/>
    <s v="Married"/>
    <n v="15202"/>
    <n v="5602"/>
    <n v="2"/>
    <x v="1"/>
    <n v="25"/>
    <n v="4"/>
    <n v="2"/>
    <n v="1"/>
    <n v="23"/>
    <n v="3"/>
    <n v="3"/>
    <n v="2"/>
    <n v="2"/>
    <n v="2"/>
    <n v="2"/>
    <s v="40-49"/>
  </r>
  <r>
    <n v="35"/>
    <x v="0"/>
    <s v="Travel_Rarely"/>
    <n v="763"/>
    <x v="0"/>
    <n v="15"/>
    <n v="2"/>
    <s v="Medical"/>
    <n v="1645"/>
    <n v="1"/>
    <s v="Male"/>
    <n v="59"/>
    <n v="1"/>
    <n v="2"/>
    <x v="0"/>
    <n v="4"/>
    <s v="Divorced"/>
    <n v="5440"/>
    <n v="22098"/>
    <n v="6"/>
    <x v="0"/>
    <n v="14"/>
    <n v="3"/>
    <n v="4"/>
    <n v="2"/>
    <n v="7"/>
    <n v="2"/>
    <n v="2"/>
    <n v="2"/>
    <n v="2"/>
    <n v="2"/>
    <n v="2"/>
    <s v="30-39"/>
  </r>
  <r>
    <n v="24"/>
    <x v="1"/>
    <s v="Travel_Frequently"/>
    <n v="567"/>
    <x v="1"/>
    <n v="2"/>
    <n v="1"/>
    <s v="Technical Degree"/>
    <n v="1646"/>
    <n v="1"/>
    <s v="Female"/>
    <n v="32"/>
    <n v="3"/>
    <n v="1"/>
    <x v="1"/>
    <n v="4"/>
    <s v="Single"/>
    <n v="3760"/>
    <n v="17218"/>
    <n v="1"/>
    <x v="0"/>
    <n v="13"/>
    <n v="3"/>
    <n v="3"/>
    <n v="0"/>
    <n v="6"/>
    <n v="2"/>
    <n v="3"/>
    <n v="6"/>
    <n v="3"/>
    <n v="1"/>
    <n v="3"/>
    <s v="Below 30"/>
  </r>
  <r>
    <n v="27"/>
    <x v="1"/>
    <s v="Travel_Rarely"/>
    <n v="486"/>
    <x v="1"/>
    <n v="8"/>
    <n v="3"/>
    <s v="Medical"/>
    <n v="1647"/>
    <n v="2"/>
    <s v="Female"/>
    <n v="86"/>
    <n v="4"/>
    <n v="1"/>
    <x v="1"/>
    <n v="3"/>
    <s v="Married"/>
    <n v="3517"/>
    <n v="22490"/>
    <n v="7"/>
    <x v="1"/>
    <n v="17"/>
    <n v="3"/>
    <n v="1"/>
    <n v="0"/>
    <n v="5"/>
    <n v="0"/>
    <n v="3"/>
    <n v="3"/>
    <n v="2"/>
    <n v="0"/>
    <n v="2"/>
    <s v="Below 30"/>
  </r>
  <r>
    <n v="27"/>
    <x v="1"/>
    <s v="Travel_Frequently"/>
    <n v="591"/>
    <x v="1"/>
    <n v="2"/>
    <n v="3"/>
    <s v="Medical"/>
    <n v="1648"/>
    <n v="4"/>
    <s v="Male"/>
    <n v="87"/>
    <n v="3"/>
    <n v="1"/>
    <x v="1"/>
    <n v="4"/>
    <s v="Single"/>
    <n v="2580"/>
    <n v="6297"/>
    <n v="2"/>
    <x v="1"/>
    <n v="13"/>
    <n v="3"/>
    <n v="3"/>
    <n v="0"/>
    <n v="6"/>
    <n v="0"/>
    <n v="2"/>
    <n v="4"/>
    <n v="2"/>
    <n v="1"/>
    <n v="2"/>
    <s v="Below 30"/>
  </r>
  <r>
    <n v="40"/>
    <x v="0"/>
    <s v="Travel_Rarely"/>
    <n v="1329"/>
    <x v="1"/>
    <n v="7"/>
    <n v="3"/>
    <s v="Life Sciences"/>
    <n v="1649"/>
    <n v="1"/>
    <s v="Male"/>
    <n v="73"/>
    <n v="3"/>
    <n v="1"/>
    <x v="2"/>
    <n v="1"/>
    <s v="Single"/>
    <n v="2166"/>
    <n v="3339"/>
    <n v="3"/>
    <x v="0"/>
    <n v="14"/>
    <n v="3"/>
    <n v="2"/>
    <n v="0"/>
    <n v="10"/>
    <n v="3"/>
    <n v="1"/>
    <n v="4"/>
    <n v="2"/>
    <n v="0"/>
    <n v="3"/>
    <s v="40-49"/>
  </r>
  <r>
    <n v="29"/>
    <x v="1"/>
    <s v="Travel_Rarely"/>
    <n v="469"/>
    <x v="0"/>
    <n v="10"/>
    <n v="3"/>
    <s v="Medical"/>
    <n v="1650"/>
    <n v="3"/>
    <s v="Male"/>
    <n v="42"/>
    <n v="2"/>
    <n v="2"/>
    <x v="0"/>
    <n v="3"/>
    <s v="Single"/>
    <n v="5869"/>
    <n v="23413"/>
    <n v="9"/>
    <x v="1"/>
    <n v="11"/>
    <n v="3"/>
    <n v="3"/>
    <n v="0"/>
    <n v="8"/>
    <n v="2"/>
    <n v="3"/>
    <n v="5"/>
    <n v="2"/>
    <n v="1"/>
    <n v="4"/>
    <s v="Below 30"/>
  </r>
  <r>
    <n v="36"/>
    <x v="1"/>
    <s v="Travel_Rarely"/>
    <n v="711"/>
    <x v="1"/>
    <n v="5"/>
    <n v="4"/>
    <s v="Life Sciences"/>
    <n v="1651"/>
    <n v="2"/>
    <s v="Female"/>
    <n v="42"/>
    <n v="3"/>
    <n v="3"/>
    <x v="4"/>
    <n v="1"/>
    <s v="Married"/>
    <n v="8008"/>
    <n v="22792"/>
    <n v="4"/>
    <x v="1"/>
    <n v="12"/>
    <n v="3"/>
    <n v="3"/>
    <n v="2"/>
    <n v="9"/>
    <n v="6"/>
    <n v="3"/>
    <n v="3"/>
    <n v="2"/>
    <n v="0"/>
    <n v="2"/>
    <s v="30-39"/>
  </r>
  <r>
    <n v="25"/>
    <x v="1"/>
    <s v="Travel_Frequently"/>
    <n v="772"/>
    <x v="1"/>
    <n v="2"/>
    <n v="1"/>
    <s v="Life Sciences"/>
    <n v="1653"/>
    <n v="4"/>
    <s v="Male"/>
    <n v="77"/>
    <n v="4"/>
    <n v="2"/>
    <x v="3"/>
    <n v="3"/>
    <s v="Divorced"/>
    <n v="5206"/>
    <n v="4973"/>
    <n v="1"/>
    <x v="1"/>
    <n v="17"/>
    <n v="3"/>
    <n v="3"/>
    <n v="2"/>
    <n v="7"/>
    <n v="6"/>
    <n v="3"/>
    <n v="7"/>
    <n v="7"/>
    <n v="0"/>
    <n v="7"/>
    <s v="Below 30"/>
  </r>
  <r>
    <n v="39"/>
    <x v="1"/>
    <s v="Travel_Rarely"/>
    <n v="492"/>
    <x v="1"/>
    <n v="12"/>
    <n v="3"/>
    <s v="Medical"/>
    <n v="1654"/>
    <n v="4"/>
    <s v="Male"/>
    <n v="66"/>
    <n v="3"/>
    <n v="2"/>
    <x v="3"/>
    <n v="2"/>
    <s v="Married"/>
    <n v="5295"/>
    <n v="7693"/>
    <n v="4"/>
    <x v="1"/>
    <n v="21"/>
    <n v="4"/>
    <n v="3"/>
    <n v="0"/>
    <n v="7"/>
    <n v="3"/>
    <n v="3"/>
    <n v="5"/>
    <n v="4"/>
    <n v="1"/>
    <n v="0"/>
    <s v="30-39"/>
  </r>
  <r>
    <n v="49"/>
    <x v="1"/>
    <s v="Travel_Rarely"/>
    <n v="301"/>
    <x v="1"/>
    <n v="22"/>
    <n v="4"/>
    <s v="Other"/>
    <n v="1655"/>
    <n v="1"/>
    <s v="Female"/>
    <n v="72"/>
    <n v="3"/>
    <n v="4"/>
    <x v="7"/>
    <n v="2"/>
    <s v="Married"/>
    <n v="16413"/>
    <n v="3498"/>
    <n v="3"/>
    <x v="1"/>
    <n v="16"/>
    <n v="3"/>
    <n v="2"/>
    <n v="2"/>
    <n v="27"/>
    <n v="2"/>
    <n v="3"/>
    <n v="4"/>
    <n v="2"/>
    <n v="1"/>
    <n v="2"/>
    <s v="40-49"/>
  </r>
  <r>
    <n v="50"/>
    <x v="1"/>
    <s v="Travel_Rarely"/>
    <n v="813"/>
    <x v="1"/>
    <n v="17"/>
    <n v="5"/>
    <s v="Life Sciences"/>
    <n v="1656"/>
    <n v="4"/>
    <s v="Female"/>
    <n v="50"/>
    <n v="2"/>
    <n v="3"/>
    <x v="7"/>
    <n v="1"/>
    <s v="Divorced"/>
    <n v="13269"/>
    <n v="21981"/>
    <n v="5"/>
    <x v="1"/>
    <n v="15"/>
    <n v="3"/>
    <n v="3"/>
    <n v="3"/>
    <n v="19"/>
    <n v="3"/>
    <n v="3"/>
    <n v="14"/>
    <n v="11"/>
    <n v="1"/>
    <n v="11"/>
    <s v="50+"/>
  </r>
  <r>
    <n v="20"/>
    <x v="1"/>
    <s v="Travel_Rarely"/>
    <n v="1141"/>
    <x v="0"/>
    <n v="2"/>
    <n v="3"/>
    <s v="Medical"/>
    <n v="1657"/>
    <n v="3"/>
    <s v="Female"/>
    <n v="31"/>
    <n v="3"/>
    <n v="1"/>
    <x v="6"/>
    <n v="3"/>
    <s v="Single"/>
    <n v="2783"/>
    <n v="13251"/>
    <n v="1"/>
    <x v="1"/>
    <n v="19"/>
    <n v="3"/>
    <n v="1"/>
    <n v="0"/>
    <n v="2"/>
    <n v="3"/>
    <n v="3"/>
    <n v="2"/>
    <n v="2"/>
    <n v="2"/>
    <n v="2"/>
    <s v="Below 30"/>
  </r>
  <r>
    <n v="34"/>
    <x v="1"/>
    <s v="Travel_Rarely"/>
    <n v="1130"/>
    <x v="1"/>
    <n v="3"/>
    <n v="3"/>
    <s v="Life Sciences"/>
    <n v="1658"/>
    <n v="4"/>
    <s v="Female"/>
    <n v="66"/>
    <n v="3"/>
    <n v="2"/>
    <x v="1"/>
    <n v="2"/>
    <s v="Divorced"/>
    <n v="5433"/>
    <n v="19332"/>
    <n v="1"/>
    <x v="1"/>
    <n v="12"/>
    <n v="3"/>
    <n v="3"/>
    <n v="1"/>
    <n v="11"/>
    <n v="2"/>
    <n v="3"/>
    <n v="11"/>
    <n v="8"/>
    <n v="7"/>
    <n v="9"/>
    <s v="30-39"/>
  </r>
  <r>
    <n v="36"/>
    <x v="1"/>
    <s v="Travel_Rarely"/>
    <n v="311"/>
    <x v="1"/>
    <n v="7"/>
    <n v="3"/>
    <s v="Life Sciences"/>
    <n v="1659"/>
    <n v="1"/>
    <s v="Male"/>
    <n v="77"/>
    <n v="3"/>
    <n v="1"/>
    <x v="2"/>
    <n v="2"/>
    <s v="Single"/>
    <n v="2013"/>
    <n v="10950"/>
    <n v="2"/>
    <x v="1"/>
    <n v="11"/>
    <n v="3"/>
    <n v="3"/>
    <n v="0"/>
    <n v="15"/>
    <n v="4"/>
    <n v="3"/>
    <n v="4"/>
    <n v="3"/>
    <n v="1"/>
    <n v="3"/>
    <s v="30-39"/>
  </r>
  <r>
    <n v="49"/>
    <x v="1"/>
    <s v="Travel_Rarely"/>
    <n v="465"/>
    <x v="1"/>
    <n v="6"/>
    <n v="1"/>
    <s v="Life Sciences"/>
    <n v="1661"/>
    <n v="3"/>
    <s v="Female"/>
    <n v="41"/>
    <n v="2"/>
    <n v="4"/>
    <x v="4"/>
    <n v="3"/>
    <s v="Married"/>
    <n v="13966"/>
    <n v="11652"/>
    <n v="2"/>
    <x v="0"/>
    <n v="19"/>
    <n v="3"/>
    <n v="2"/>
    <n v="1"/>
    <n v="30"/>
    <n v="3"/>
    <n v="3"/>
    <n v="15"/>
    <n v="11"/>
    <n v="2"/>
    <n v="12"/>
    <s v="40-49"/>
  </r>
  <r>
    <n v="36"/>
    <x v="1"/>
    <s v="Non-Travel"/>
    <n v="894"/>
    <x v="1"/>
    <n v="1"/>
    <n v="4"/>
    <s v="Medical"/>
    <n v="1662"/>
    <n v="4"/>
    <s v="Female"/>
    <n v="33"/>
    <n v="2"/>
    <n v="2"/>
    <x v="3"/>
    <n v="3"/>
    <s v="Married"/>
    <n v="4374"/>
    <n v="15411"/>
    <n v="0"/>
    <x v="1"/>
    <n v="15"/>
    <n v="3"/>
    <n v="3"/>
    <n v="0"/>
    <n v="4"/>
    <n v="6"/>
    <n v="3"/>
    <n v="3"/>
    <n v="2"/>
    <n v="1"/>
    <n v="2"/>
    <s v="30-39"/>
  </r>
  <r>
    <n v="36"/>
    <x v="1"/>
    <s v="Travel_Rarely"/>
    <n v="1040"/>
    <x v="1"/>
    <n v="3"/>
    <n v="2"/>
    <s v="Life Sciences"/>
    <n v="1664"/>
    <n v="4"/>
    <s v="Male"/>
    <n v="79"/>
    <n v="4"/>
    <n v="2"/>
    <x v="4"/>
    <n v="1"/>
    <s v="Divorced"/>
    <n v="6842"/>
    <n v="26308"/>
    <n v="6"/>
    <x v="1"/>
    <n v="20"/>
    <n v="4"/>
    <n v="1"/>
    <n v="1"/>
    <n v="13"/>
    <n v="3"/>
    <n v="3"/>
    <n v="5"/>
    <n v="4"/>
    <n v="0"/>
    <n v="4"/>
    <s v="30-39"/>
  </r>
  <r>
    <n v="54"/>
    <x v="1"/>
    <s v="Travel_Rarely"/>
    <n v="584"/>
    <x v="1"/>
    <n v="22"/>
    <n v="5"/>
    <s v="Medical"/>
    <n v="1665"/>
    <n v="2"/>
    <s v="Female"/>
    <n v="91"/>
    <n v="3"/>
    <n v="4"/>
    <x v="5"/>
    <n v="3"/>
    <s v="Married"/>
    <n v="17426"/>
    <n v="18685"/>
    <n v="3"/>
    <x v="1"/>
    <n v="25"/>
    <n v="4"/>
    <n v="3"/>
    <n v="1"/>
    <n v="36"/>
    <n v="6"/>
    <n v="3"/>
    <n v="10"/>
    <n v="8"/>
    <n v="4"/>
    <n v="7"/>
    <s v="50+"/>
  </r>
  <r>
    <n v="43"/>
    <x v="1"/>
    <s v="Travel_Rarely"/>
    <n v="1291"/>
    <x v="1"/>
    <n v="15"/>
    <n v="2"/>
    <s v="Life Sciences"/>
    <n v="1666"/>
    <n v="3"/>
    <s v="Male"/>
    <n v="65"/>
    <n v="2"/>
    <n v="4"/>
    <x v="7"/>
    <n v="3"/>
    <s v="Married"/>
    <n v="17603"/>
    <n v="3525"/>
    <n v="1"/>
    <x v="1"/>
    <n v="24"/>
    <n v="4"/>
    <n v="1"/>
    <n v="1"/>
    <n v="14"/>
    <n v="3"/>
    <n v="3"/>
    <n v="14"/>
    <n v="10"/>
    <n v="6"/>
    <n v="11"/>
    <s v="40-49"/>
  </r>
  <r>
    <n v="35"/>
    <x v="0"/>
    <s v="Travel_Frequently"/>
    <n v="880"/>
    <x v="0"/>
    <n v="12"/>
    <n v="4"/>
    <s v="Other"/>
    <n v="1667"/>
    <n v="4"/>
    <s v="Male"/>
    <n v="36"/>
    <n v="3"/>
    <n v="2"/>
    <x v="0"/>
    <n v="4"/>
    <s v="Single"/>
    <n v="4581"/>
    <n v="10414"/>
    <n v="3"/>
    <x v="0"/>
    <n v="24"/>
    <n v="4"/>
    <n v="1"/>
    <n v="0"/>
    <n v="13"/>
    <n v="2"/>
    <n v="4"/>
    <n v="11"/>
    <n v="9"/>
    <n v="6"/>
    <n v="7"/>
    <s v="30-39"/>
  </r>
  <r>
    <n v="38"/>
    <x v="1"/>
    <s v="Travel_Frequently"/>
    <n v="1189"/>
    <x v="1"/>
    <n v="1"/>
    <n v="3"/>
    <s v="Life Sciences"/>
    <n v="1668"/>
    <n v="4"/>
    <s v="Male"/>
    <n v="90"/>
    <n v="3"/>
    <n v="2"/>
    <x v="1"/>
    <n v="4"/>
    <s v="Married"/>
    <n v="4735"/>
    <n v="9867"/>
    <n v="7"/>
    <x v="1"/>
    <n v="15"/>
    <n v="3"/>
    <n v="4"/>
    <n v="2"/>
    <n v="19"/>
    <n v="4"/>
    <n v="4"/>
    <n v="13"/>
    <n v="11"/>
    <n v="2"/>
    <n v="9"/>
    <s v="30-39"/>
  </r>
  <r>
    <n v="29"/>
    <x v="1"/>
    <s v="Travel_Rarely"/>
    <n v="991"/>
    <x v="0"/>
    <n v="5"/>
    <n v="3"/>
    <s v="Medical"/>
    <n v="1669"/>
    <n v="1"/>
    <s v="Male"/>
    <n v="43"/>
    <n v="2"/>
    <n v="2"/>
    <x v="0"/>
    <n v="2"/>
    <s v="Divorced"/>
    <n v="4187"/>
    <n v="3356"/>
    <n v="1"/>
    <x v="0"/>
    <n v="13"/>
    <n v="3"/>
    <n v="2"/>
    <n v="1"/>
    <n v="10"/>
    <n v="3"/>
    <n v="2"/>
    <n v="10"/>
    <n v="0"/>
    <n v="0"/>
    <n v="9"/>
    <s v="Below 30"/>
  </r>
  <r>
    <n v="33"/>
    <x v="1"/>
    <s v="Travel_Rarely"/>
    <n v="392"/>
    <x v="0"/>
    <n v="2"/>
    <n v="4"/>
    <s v="Medical"/>
    <n v="1670"/>
    <n v="4"/>
    <s v="Male"/>
    <n v="93"/>
    <n v="3"/>
    <n v="2"/>
    <x v="0"/>
    <n v="4"/>
    <s v="Divorced"/>
    <n v="5505"/>
    <n v="3921"/>
    <n v="1"/>
    <x v="1"/>
    <n v="14"/>
    <n v="3"/>
    <n v="3"/>
    <n v="2"/>
    <n v="6"/>
    <n v="5"/>
    <n v="3"/>
    <n v="6"/>
    <n v="2"/>
    <n v="0"/>
    <n v="4"/>
    <s v="30-39"/>
  </r>
  <r>
    <n v="32"/>
    <x v="1"/>
    <s v="Travel_Rarely"/>
    <n v="977"/>
    <x v="1"/>
    <n v="2"/>
    <n v="3"/>
    <s v="Medical"/>
    <n v="1671"/>
    <n v="4"/>
    <s v="Male"/>
    <n v="45"/>
    <n v="3"/>
    <n v="2"/>
    <x v="1"/>
    <n v="2"/>
    <s v="Divorced"/>
    <n v="5470"/>
    <n v="25518"/>
    <n v="0"/>
    <x v="1"/>
    <n v="13"/>
    <n v="3"/>
    <n v="3"/>
    <n v="2"/>
    <n v="10"/>
    <n v="4"/>
    <n v="2"/>
    <n v="9"/>
    <n v="5"/>
    <n v="1"/>
    <n v="6"/>
    <s v="30-39"/>
  </r>
  <r>
    <n v="31"/>
    <x v="1"/>
    <s v="Travel_Rarely"/>
    <n v="1112"/>
    <x v="0"/>
    <n v="5"/>
    <n v="4"/>
    <s v="Life Sciences"/>
    <n v="1673"/>
    <n v="1"/>
    <s v="Female"/>
    <n v="67"/>
    <n v="3"/>
    <n v="2"/>
    <x v="0"/>
    <n v="4"/>
    <s v="Married"/>
    <n v="5476"/>
    <n v="22589"/>
    <n v="1"/>
    <x v="1"/>
    <n v="11"/>
    <n v="3"/>
    <n v="1"/>
    <n v="2"/>
    <n v="10"/>
    <n v="2"/>
    <n v="3"/>
    <n v="10"/>
    <n v="0"/>
    <n v="0"/>
    <n v="2"/>
    <s v="30-39"/>
  </r>
  <r>
    <n v="49"/>
    <x v="1"/>
    <s v="Travel_Rarely"/>
    <n v="464"/>
    <x v="1"/>
    <n v="16"/>
    <n v="3"/>
    <s v="Medical"/>
    <n v="1674"/>
    <n v="4"/>
    <s v="Female"/>
    <n v="74"/>
    <n v="3"/>
    <n v="1"/>
    <x v="2"/>
    <n v="1"/>
    <s v="Divorced"/>
    <n v="2587"/>
    <n v="24941"/>
    <n v="4"/>
    <x v="0"/>
    <n v="16"/>
    <n v="3"/>
    <n v="2"/>
    <n v="1"/>
    <n v="17"/>
    <n v="2"/>
    <n v="2"/>
    <n v="2"/>
    <n v="2"/>
    <n v="2"/>
    <n v="2"/>
    <s v="40-49"/>
  </r>
  <r>
    <n v="38"/>
    <x v="1"/>
    <s v="Travel_Frequently"/>
    <n v="148"/>
    <x v="1"/>
    <n v="2"/>
    <n v="3"/>
    <s v="Medical"/>
    <n v="1675"/>
    <n v="4"/>
    <s v="Female"/>
    <n v="42"/>
    <n v="2"/>
    <n v="1"/>
    <x v="2"/>
    <n v="2"/>
    <s v="Single"/>
    <n v="2440"/>
    <n v="23826"/>
    <n v="1"/>
    <x v="1"/>
    <n v="22"/>
    <n v="4"/>
    <n v="2"/>
    <n v="0"/>
    <n v="4"/>
    <n v="3"/>
    <n v="3"/>
    <n v="4"/>
    <n v="3"/>
    <n v="3"/>
    <n v="3"/>
    <s v="30-39"/>
  </r>
  <r>
    <n v="47"/>
    <x v="1"/>
    <s v="Travel_Rarely"/>
    <n v="1225"/>
    <x v="0"/>
    <n v="2"/>
    <n v="4"/>
    <s v="Life Sciences"/>
    <n v="1676"/>
    <n v="2"/>
    <s v="Female"/>
    <n v="47"/>
    <n v="4"/>
    <n v="4"/>
    <x v="5"/>
    <n v="2"/>
    <s v="Divorced"/>
    <n v="15972"/>
    <n v="21086"/>
    <n v="6"/>
    <x v="1"/>
    <n v="14"/>
    <n v="3"/>
    <n v="3"/>
    <n v="3"/>
    <n v="29"/>
    <n v="2"/>
    <n v="3"/>
    <n v="3"/>
    <n v="2"/>
    <n v="1"/>
    <n v="2"/>
    <s v="40-49"/>
  </r>
  <r>
    <n v="49"/>
    <x v="1"/>
    <s v="Travel_Rarely"/>
    <n v="809"/>
    <x v="1"/>
    <n v="1"/>
    <n v="3"/>
    <s v="Life Sciences"/>
    <n v="1677"/>
    <n v="3"/>
    <s v="Male"/>
    <n v="36"/>
    <n v="3"/>
    <n v="4"/>
    <x v="5"/>
    <n v="3"/>
    <s v="Single"/>
    <n v="15379"/>
    <n v="22384"/>
    <n v="4"/>
    <x v="1"/>
    <n v="14"/>
    <n v="3"/>
    <n v="1"/>
    <n v="0"/>
    <n v="23"/>
    <n v="2"/>
    <n v="3"/>
    <n v="8"/>
    <n v="7"/>
    <n v="0"/>
    <n v="0"/>
    <s v="40-49"/>
  </r>
  <r>
    <n v="41"/>
    <x v="1"/>
    <s v="Travel_Rarely"/>
    <n v="1206"/>
    <x v="0"/>
    <n v="23"/>
    <n v="2"/>
    <s v="Life Sciences"/>
    <n v="1678"/>
    <n v="4"/>
    <s v="Male"/>
    <n v="80"/>
    <n v="3"/>
    <n v="3"/>
    <x v="0"/>
    <n v="3"/>
    <s v="Single"/>
    <n v="7082"/>
    <n v="11591"/>
    <n v="3"/>
    <x v="0"/>
    <n v="16"/>
    <n v="3"/>
    <n v="4"/>
    <n v="0"/>
    <n v="21"/>
    <n v="2"/>
    <n v="3"/>
    <n v="2"/>
    <n v="0"/>
    <n v="0"/>
    <n v="2"/>
    <s v="40-49"/>
  </r>
  <r>
    <n v="20"/>
    <x v="1"/>
    <s v="Travel_Rarely"/>
    <n v="727"/>
    <x v="0"/>
    <n v="9"/>
    <n v="1"/>
    <s v="Life Sciences"/>
    <n v="1680"/>
    <n v="4"/>
    <s v="Male"/>
    <n v="54"/>
    <n v="3"/>
    <n v="1"/>
    <x v="6"/>
    <n v="1"/>
    <s v="Single"/>
    <n v="2728"/>
    <n v="21082"/>
    <n v="1"/>
    <x v="1"/>
    <n v="11"/>
    <n v="3"/>
    <n v="1"/>
    <n v="0"/>
    <n v="2"/>
    <n v="3"/>
    <n v="3"/>
    <n v="2"/>
    <n v="2"/>
    <n v="0"/>
    <n v="2"/>
    <s v="Below 30"/>
  </r>
  <r>
    <n v="33"/>
    <x v="1"/>
    <s v="Non-Travel"/>
    <n v="530"/>
    <x v="0"/>
    <n v="16"/>
    <n v="3"/>
    <s v="Life Sciences"/>
    <n v="1681"/>
    <n v="3"/>
    <s v="Female"/>
    <n v="36"/>
    <n v="3"/>
    <n v="2"/>
    <x v="0"/>
    <n v="4"/>
    <s v="Divorced"/>
    <n v="5368"/>
    <n v="16130"/>
    <n v="1"/>
    <x v="0"/>
    <n v="25"/>
    <n v="4"/>
    <n v="3"/>
    <n v="1"/>
    <n v="7"/>
    <n v="2"/>
    <n v="3"/>
    <n v="6"/>
    <n v="5"/>
    <n v="1"/>
    <n v="2"/>
    <s v="30-39"/>
  </r>
  <r>
    <n v="36"/>
    <x v="1"/>
    <s v="Travel_Rarely"/>
    <n v="1351"/>
    <x v="1"/>
    <n v="26"/>
    <n v="4"/>
    <s v="Life Sciences"/>
    <n v="1682"/>
    <n v="1"/>
    <s v="Male"/>
    <n v="80"/>
    <n v="3"/>
    <n v="2"/>
    <x v="4"/>
    <n v="3"/>
    <s v="Married"/>
    <n v="5347"/>
    <n v="7419"/>
    <n v="6"/>
    <x v="1"/>
    <n v="14"/>
    <n v="3"/>
    <n v="2"/>
    <n v="2"/>
    <n v="10"/>
    <n v="2"/>
    <n v="2"/>
    <n v="3"/>
    <n v="2"/>
    <n v="0"/>
    <n v="2"/>
    <s v="30-39"/>
  </r>
  <r>
    <n v="44"/>
    <x v="1"/>
    <s v="Travel_Rarely"/>
    <n v="528"/>
    <x v="2"/>
    <n v="1"/>
    <n v="3"/>
    <s v="Life Sciences"/>
    <n v="1683"/>
    <n v="3"/>
    <s v="Female"/>
    <n v="44"/>
    <n v="3"/>
    <n v="1"/>
    <x v="8"/>
    <n v="4"/>
    <s v="Divorced"/>
    <n v="3195"/>
    <n v="4167"/>
    <n v="4"/>
    <x v="0"/>
    <n v="18"/>
    <n v="3"/>
    <n v="1"/>
    <n v="3"/>
    <n v="8"/>
    <n v="2"/>
    <n v="3"/>
    <n v="2"/>
    <n v="2"/>
    <n v="2"/>
    <n v="2"/>
    <s v="40-49"/>
  </r>
  <r>
    <n v="23"/>
    <x v="0"/>
    <s v="Travel_Rarely"/>
    <n v="1320"/>
    <x v="1"/>
    <n v="8"/>
    <n v="1"/>
    <s v="Medical"/>
    <n v="1684"/>
    <n v="4"/>
    <s v="Male"/>
    <n v="93"/>
    <n v="2"/>
    <n v="1"/>
    <x v="2"/>
    <n v="3"/>
    <s v="Single"/>
    <n v="3989"/>
    <n v="20586"/>
    <n v="1"/>
    <x v="0"/>
    <n v="11"/>
    <n v="3"/>
    <n v="1"/>
    <n v="0"/>
    <n v="5"/>
    <n v="2"/>
    <n v="3"/>
    <n v="5"/>
    <n v="4"/>
    <n v="1"/>
    <n v="2"/>
    <s v="Below 30"/>
  </r>
  <r>
    <n v="38"/>
    <x v="1"/>
    <s v="Travel_Rarely"/>
    <n v="1495"/>
    <x v="1"/>
    <n v="4"/>
    <n v="2"/>
    <s v="Medical"/>
    <n v="1687"/>
    <n v="4"/>
    <s v="Female"/>
    <n v="87"/>
    <n v="3"/>
    <n v="1"/>
    <x v="2"/>
    <n v="3"/>
    <s v="Married"/>
    <n v="3306"/>
    <n v="26176"/>
    <n v="7"/>
    <x v="1"/>
    <n v="19"/>
    <n v="3"/>
    <n v="4"/>
    <n v="1"/>
    <n v="7"/>
    <n v="5"/>
    <n v="2"/>
    <n v="0"/>
    <n v="0"/>
    <n v="0"/>
    <n v="0"/>
    <s v="30-39"/>
  </r>
  <r>
    <n v="53"/>
    <x v="1"/>
    <s v="Travel_Rarely"/>
    <n v="1395"/>
    <x v="1"/>
    <n v="24"/>
    <n v="4"/>
    <s v="Medical"/>
    <n v="1689"/>
    <n v="2"/>
    <s v="Male"/>
    <n v="48"/>
    <n v="4"/>
    <n v="3"/>
    <x v="4"/>
    <n v="4"/>
    <s v="Married"/>
    <n v="7005"/>
    <n v="3458"/>
    <n v="3"/>
    <x v="1"/>
    <n v="15"/>
    <n v="3"/>
    <n v="3"/>
    <n v="0"/>
    <n v="11"/>
    <n v="2"/>
    <n v="3"/>
    <n v="4"/>
    <n v="3"/>
    <n v="1"/>
    <n v="2"/>
    <s v="50+"/>
  </r>
  <r>
    <n v="48"/>
    <x v="0"/>
    <s v="Travel_Frequently"/>
    <n v="708"/>
    <x v="0"/>
    <n v="7"/>
    <n v="2"/>
    <s v="Medical"/>
    <n v="1691"/>
    <n v="4"/>
    <s v="Female"/>
    <n v="95"/>
    <n v="3"/>
    <n v="1"/>
    <x v="6"/>
    <n v="3"/>
    <s v="Married"/>
    <n v="2655"/>
    <n v="11740"/>
    <n v="2"/>
    <x v="0"/>
    <n v="11"/>
    <n v="3"/>
    <n v="3"/>
    <n v="2"/>
    <n v="19"/>
    <n v="3"/>
    <n v="3"/>
    <n v="9"/>
    <n v="7"/>
    <n v="7"/>
    <n v="7"/>
    <s v="40-49"/>
  </r>
  <r>
    <n v="32"/>
    <x v="0"/>
    <s v="Travel_Rarely"/>
    <n v="1259"/>
    <x v="1"/>
    <n v="2"/>
    <n v="4"/>
    <s v="Life Sciences"/>
    <n v="1692"/>
    <n v="4"/>
    <s v="Male"/>
    <n v="95"/>
    <n v="3"/>
    <n v="1"/>
    <x v="2"/>
    <n v="2"/>
    <s v="Single"/>
    <n v="1393"/>
    <n v="24852"/>
    <n v="1"/>
    <x v="1"/>
    <n v="12"/>
    <n v="3"/>
    <n v="1"/>
    <n v="0"/>
    <n v="1"/>
    <n v="2"/>
    <n v="3"/>
    <n v="1"/>
    <n v="0"/>
    <n v="0"/>
    <n v="0"/>
    <s v="30-39"/>
  </r>
  <r>
    <n v="26"/>
    <x v="1"/>
    <s v="Non-Travel"/>
    <n v="786"/>
    <x v="1"/>
    <n v="7"/>
    <n v="3"/>
    <s v="Medical"/>
    <n v="1693"/>
    <n v="4"/>
    <s v="Male"/>
    <n v="76"/>
    <n v="3"/>
    <n v="1"/>
    <x v="2"/>
    <n v="4"/>
    <s v="Single"/>
    <n v="2570"/>
    <n v="11925"/>
    <n v="1"/>
    <x v="1"/>
    <n v="20"/>
    <n v="4"/>
    <n v="3"/>
    <n v="0"/>
    <n v="7"/>
    <n v="5"/>
    <n v="3"/>
    <n v="7"/>
    <n v="7"/>
    <n v="5"/>
    <n v="7"/>
    <s v="Below 30"/>
  </r>
  <r>
    <n v="55"/>
    <x v="1"/>
    <s v="Travel_Rarely"/>
    <n v="1441"/>
    <x v="1"/>
    <n v="22"/>
    <n v="3"/>
    <s v="Technical Degree"/>
    <n v="1694"/>
    <n v="1"/>
    <s v="Male"/>
    <n v="94"/>
    <n v="2"/>
    <n v="1"/>
    <x v="1"/>
    <n v="2"/>
    <s v="Divorced"/>
    <n v="3537"/>
    <n v="23737"/>
    <n v="5"/>
    <x v="1"/>
    <n v="12"/>
    <n v="3"/>
    <n v="4"/>
    <n v="1"/>
    <n v="8"/>
    <n v="1"/>
    <n v="3"/>
    <n v="4"/>
    <n v="2"/>
    <n v="1"/>
    <n v="2"/>
    <s v="50+"/>
  </r>
  <r>
    <n v="34"/>
    <x v="1"/>
    <s v="Travel_Rarely"/>
    <n v="1157"/>
    <x v="1"/>
    <n v="5"/>
    <n v="2"/>
    <s v="Medical"/>
    <n v="1696"/>
    <n v="2"/>
    <s v="Male"/>
    <n v="57"/>
    <n v="2"/>
    <n v="2"/>
    <x v="2"/>
    <n v="4"/>
    <s v="Married"/>
    <n v="3986"/>
    <n v="11912"/>
    <n v="1"/>
    <x v="1"/>
    <n v="14"/>
    <n v="3"/>
    <n v="3"/>
    <n v="1"/>
    <n v="15"/>
    <n v="3"/>
    <n v="4"/>
    <n v="15"/>
    <n v="10"/>
    <n v="4"/>
    <n v="13"/>
    <s v="30-39"/>
  </r>
  <r>
    <n v="60"/>
    <x v="1"/>
    <s v="Travel_Rarely"/>
    <n v="370"/>
    <x v="1"/>
    <n v="1"/>
    <n v="4"/>
    <s v="Medical"/>
    <n v="1697"/>
    <n v="3"/>
    <s v="Male"/>
    <n v="92"/>
    <n v="1"/>
    <n v="3"/>
    <x v="4"/>
    <n v="4"/>
    <s v="Divorced"/>
    <n v="10883"/>
    <n v="20467"/>
    <n v="3"/>
    <x v="1"/>
    <n v="20"/>
    <n v="4"/>
    <n v="3"/>
    <n v="1"/>
    <n v="19"/>
    <n v="2"/>
    <n v="4"/>
    <n v="1"/>
    <n v="0"/>
    <n v="0"/>
    <n v="0"/>
    <s v="50+"/>
  </r>
  <r>
    <n v="33"/>
    <x v="1"/>
    <s v="Travel_Rarely"/>
    <n v="267"/>
    <x v="1"/>
    <n v="21"/>
    <n v="3"/>
    <s v="Medical"/>
    <n v="1698"/>
    <n v="2"/>
    <s v="Male"/>
    <n v="79"/>
    <n v="4"/>
    <n v="1"/>
    <x v="2"/>
    <n v="2"/>
    <s v="Married"/>
    <n v="2028"/>
    <n v="13637"/>
    <n v="1"/>
    <x v="1"/>
    <n v="18"/>
    <n v="3"/>
    <n v="4"/>
    <n v="3"/>
    <n v="14"/>
    <n v="6"/>
    <n v="3"/>
    <n v="14"/>
    <n v="11"/>
    <n v="2"/>
    <n v="13"/>
    <s v="30-39"/>
  </r>
  <r>
    <n v="37"/>
    <x v="1"/>
    <s v="Travel_Frequently"/>
    <n v="1278"/>
    <x v="0"/>
    <n v="1"/>
    <n v="4"/>
    <s v="Medical"/>
    <n v="1700"/>
    <n v="3"/>
    <s v="Male"/>
    <n v="31"/>
    <n v="1"/>
    <n v="2"/>
    <x v="0"/>
    <n v="4"/>
    <s v="Divorced"/>
    <n v="9525"/>
    <n v="7677"/>
    <n v="1"/>
    <x v="1"/>
    <n v="14"/>
    <n v="3"/>
    <n v="3"/>
    <n v="2"/>
    <n v="6"/>
    <n v="2"/>
    <n v="2"/>
    <n v="6"/>
    <n v="3"/>
    <n v="1"/>
    <n v="3"/>
    <s v="30-39"/>
  </r>
  <r>
    <n v="34"/>
    <x v="1"/>
    <s v="Travel_Rarely"/>
    <n v="678"/>
    <x v="1"/>
    <n v="19"/>
    <n v="3"/>
    <s v="Life Sciences"/>
    <n v="1701"/>
    <n v="2"/>
    <s v="Female"/>
    <n v="35"/>
    <n v="2"/>
    <n v="1"/>
    <x v="1"/>
    <n v="4"/>
    <s v="Married"/>
    <n v="2929"/>
    <n v="20338"/>
    <n v="1"/>
    <x v="1"/>
    <n v="12"/>
    <n v="3"/>
    <n v="2"/>
    <n v="0"/>
    <n v="10"/>
    <n v="3"/>
    <n v="3"/>
    <n v="10"/>
    <n v="9"/>
    <n v="8"/>
    <n v="7"/>
    <s v="30-39"/>
  </r>
  <r>
    <n v="23"/>
    <x v="0"/>
    <s v="Travel_Rarely"/>
    <n v="427"/>
    <x v="0"/>
    <n v="7"/>
    <n v="3"/>
    <s v="Life Sciences"/>
    <n v="1702"/>
    <n v="3"/>
    <s v="Male"/>
    <n v="99"/>
    <n v="3"/>
    <n v="1"/>
    <x v="6"/>
    <n v="4"/>
    <s v="Divorced"/>
    <n v="2275"/>
    <n v="25103"/>
    <n v="1"/>
    <x v="0"/>
    <n v="21"/>
    <n v="4"/>
    <n v="2"/>
    <n v="1"/>
    <n v="3"/>
    <n v="2"/>
    <n v="3"/>
    <n v="3"/>
    <n v="2"/>
    <n v="0"/>
    <n v="2"/>
    <s v="Below 30"/>
  </r>
  <r>
    <n v="44"/>
    <x v="1"/>
    <s v="Travel_Rarely"/>
    <n v="921"/>
    <x v="1"/>
    <n v="2"/>
    <n v="3"/>
    <s v="Life Sciences"/>
    <n v="1703"/>
    <n v="3"/>
    <s v="Female"/>
    <n v="96"/>
    <n v="4"/>
    <n v="3"/>
    <x v="4"/>
    <n v="4"/>
    <s v="Married"/>
    <n v="7879"/>
    <n v="14810"/>
    <n v="1"/>
    <x v="0"/>
    <n v="19"/>
    <n v="3"/>
    <n v="2"/>
    <n v="1"/>
    <n v="9"/>
    <n v="2"/>
    <n v="3"/>
    <n v="8"/>
    <n v="7"/>
    <n v="6"/>
    <n v="7"/>
    <s v="40-49"/>
  </r>
  <r>
    <n v="35"/>
    <x v="1"/>
    <s v="Travel_Frequently"/>
    <n v="146"/>
    <x v="1"/>
    <n v="2"/>
    <n v="4"/>
    <s v="Medical"/>
    <n v="1704"/>
    <n v="1"/>
    <s v="Male"/>
    <n v="79"/>
    <n v="2"/>
    <n v="1"/>
    <x v="1"/>
    <n v="4"/>
    <s v="Single"/>
    <n v="4930"/>
    <n v="13970"/>
    <n v="0"/>
    <x v="0"/>
    <n v="14"/>
    <n v="3"/>
    <n v="3"/>
    <n v="0"/>
    <n v="6"/>
    <n v="2"/>
    <n v="4"/>
    <n v="5"/>
    <n v="4"/>
    <n v="1"/>
    <n v="4"/>
    <s v="30-39"/>
  </r>
  <r>
    <n v="43"/>
    <x v="1"/>
    <s v="Travel_Rarely"/>
    <n v="1179"/>
    <x v="0"/>
    <n v="2"/>
    <n v="3"/>
    <s v="Medical"/>
    <n v="1706"/>
    <n v="4"/>
    <s v="Male"/>
    <n v="73"/>
    <n v="3"/>
    <n v="2"/>
    <x v="0"/>
    <n v="4"/>
    <s v="Married"/>
    <n v="7847"/>
    <n v="6069"/>
    <n v="1"/>
    <x v="0"/>
    <n v="17"/>
    <n v="3"/>
    <n v="1"/>
    <n v="1"/>
    <n v="10"/>
    <n v="3"/>
    <n v="3"/>
    <n v="10"/>
    <n v="9"/>
    <n v="8"/>
    <n v="8"/>
    <s v="40-49"/>
  </r>
  <r>
    <n v="24"/>
    <x v="1"/>
    <s v="Travel_Rarely"/>
    <n v="581"/>
    <x v="1"/>
    <n v="9"/>
    <n v="3"/>
    <s v="Medical"/>
    <n v="1707"/>
    <n v="3"/>
    <s v="Male"/>
    <n v="62"/>
    <n v="4"/>
    <n v="1"/>
    <x v="1"/>
    <n v="3"/>
    <s v="Married"/>
    <n v="4401"/>
    <n v="17616"/>
    <n v="1"/>
    <x v="1"/>
    <n v="16"/>
    <n v="3"/>
    <n v="4"/>
    <n v="1"/>
    <n v="5"/>
    <n v="1"/>
    <n v="3"/>
    <n v="5"/>
    <n v="3"/>
    <n v="0"/>
    <n v="4"/>
    <s v="Below 30"/>
  </r>
  <r>
    <n v="41"/>
    <x v="1"/>
    <s v="Travel_Rarely"/>
    <n v="918"/>
    <x v="0"/>
    <n v="6"/>
    <n v="3"/>
    <s v="Marketing"/>
    <n v="1708"/>
    <n v="4"/>
    <s v="Male"/>
    <n v="35"/>
    <n v="3"/>
    <n v="3"/>
    <x v="0"/>
    <n v="3"/>
    <s v="Single"/>
    <n v="9241"/>
    <n v="15869"/>
    <n v="1"/>
    <x v="1"/>
    <n v="12"/>
    <n v="3"/>
    <n v="2"/>
    <n v="0"/>
    <n v="10"/>
    <n v="3"/>
    <n v="3"/>
    <n v="10"/>
    <n v="8"/>
    <n v="8"/>
    <n v="7"/>
    <s v="40-49"/>
  </r>
  <r>
    <n v="29"/>
    <x v="1"/>
    <s v="Travel_Rarely"/>
    <n v="1082"/>
    <x v="1"/>
    <n v="9"/>
    <n v="4"/>
    <s v="Medical"/>
    <n v="1709"/>
    <n v="4"/>
    <s v="Female"/>
    <n v="43"/>
    <n v="3"/>
    <n v="1"/>
    <x v="2"/>
    <n v="3"/>
    <s v="Married"/>
    <n v="2974"/>
    <n v="25412"/>
    <n v="9"/>
    <x v="1"/>
    <n v="17"/>
    <n v="3"/>
    <n v="3"/>
    <n v="1"/>
    <n v="9"/>
    <n v="2"/>
    <n v="3"/>
    <n v="5"/>
    <n v="3"/>
    <n v="1"/>
    <n v="2"/>
    <s v="Below 30"/>
  </r>
  <r>
    <n v="36"/>
    <x v="1"/>
    <s v="Travel_Rarely"/>
    <n v="530"/>
    <x v="0"/>
    <n v="2"/>
    <n v="4"/>
    <s v="Life Sciences"/>
    <n v="1710"/>
    <n v="3"/>
    <s v="Female"/>
    <n v="51"/>
    <n v="3"/>
    <n v="2"/>
    <x v="6"/>
    <n v="4"/>
    <s v="Single"/>
    <n v="4502"/>
    <n v="7439"/>
    <n v="3"/>
    <x v="1"/>
    <n v="15"/>
    <n v="3"/>
    <n v="3"/>
    <n v="0"/>
    <n v="17"/>
    <n v="2"/>
    <n v="2"/>
    <n v="13"/>
    <n v="7"/>
    <n v="6"/>
    <n v="7"/>
    <s v="30-39"/>
  </r>
  <r>
    <n v="45"/>
    <x v="1"/>
    <s v="Non-Travel"/>
    <n v="1238"/>
    <x v="1"/>
    <n v="1"/>
    <n v="1"/>
    <s v="Life Sciences"/>
    <n v="1712"/>
    <n v="3"/>
    <s v="Male"/>
    <n v="74"/>
    <n v="2"/>
    <n v="3"/>
    <x v="4"/>
    <n v="3"/>
    <s v="Married"/>
    <n v="10748"/>
    <n v="3395"/>
    <n v="3"/>
    <x v="1"/>
    <n v="23"/>
    <n v="4"/>
    <n v="4"/>
    <n v="1"/>
    <n v="25"/>
    <n v="3"/>
    <n v="2"/>
    <n v="23"/>
    <n v="15"/>
    <n v="14"/>
    <n v="4"/>
    <s v="40-49"/>
  </r>
  <r>
    <n v="24"/>
    <x v="0"/>
    <s v="Travel_Rarely"/>
    <n v="240"/>
    <x v="2"/>
    <n v="22"/>
    <n v="1"/>
    <s v="Human Resources"/>
    <n v="1714"/>
    <n v="4"/>
    <s v="Male"/>
    <n v="58"/>
    <n v="1"/>
    <n v="1"/>
    <x v="8"/>
    <n v="3"/>
    <s v="Married"/>
    <n v="1555"/>
    <n v="11585"/>
    <n v="1"/>
    <x v="1"/>
    <n v="11"/>
    <n v="3"/>
    <n v="3"/>
    <n v="1"/>
    <n v="1"/>
    <n v="2"/>
    <n v="3"/>
    <n v="1"/>
    <n v="0"/>
    <n v="0"/>
    <n v="0"/>
    <s v="Below 30"/>
  </r>
  <r>
    <n v="47"/>
    <x v="0"/>
    <s v="Travel_Frequently"/>
    <n v="1093"/>
    <x v="0"/>
    <n v="9"/>
    <n v="3"/>
    <s v="Life Sciences"/>
    <n v="1716"/>
    <n v="3"/>
    <s v="Male"/>
    <n v="82"/>
    <n v="1"/>
    <n v="4"/>
    <x v="0"/>
    <n v="3"/>
    <s v="Married"/>
    <n v="12936"/>
    <n v="24164"/>
    <n v="7"/>
    <x v="1"/>
    <n v="11"/>
    <n v="3"/>
    <n v="3"/>
    <n v="0"/>
    <n v="25"/>
    <n v="3"/>
    <n v="1"/>
    <n v="23"/>
    <n v="5"/>
    <n v="14"/>
    <n v="10"/>
    <s v="40-49"/>
  </r>
  <r>
    <n v="26"/>
    <x v="1"/>
    <s v="Travel_Rarely"/>
    <n v="390"/>
    <x v="1"/>
    <n v="17"/>
    <n v="4"/>
    <s v="Medical"/>
    <n v="1718"/>
    <n v="4"/>
    <s v="Male"/>
    <n v="62"/>
    <n v="1"/>
    <n v="1"/>
    <x v="2"/>
    <n v="3"/>
    <s v="Married"/>
    <n v="2305"/>
    <n v="6217"/>
    <n v="1"/>
    <x v="1"/>
    <n v="15"/>
    <n v="3"/>
    <n v="3"/>
    <n v="3"/>
    <n v="3"/>
    <n v="3"/>
    <n v="4"/>
    <n v="3"/>
    <n v="2"/>
    <n v="0"/>
    <n v="2"/>
    <s v="Below 30"/>
  </r>
  <r>
    <n v="45"/>
    <x v="1"/>
    <s v="Travel_Rarely"/>
    <n v="1005"/>
    <x v="1"/>
    <n v="28"/>
    <n v="2"/>
    <s v="Technical Degree"/>
    <n v="1719"/>
    <n v="4"/>
    <s v="Female"/>
    <n v="48"/>
    <n v="2"/>
    <n v="4"/>
    <x v="7"/>
    <n v="2"/>
    <s v="Single"/>
    <n v="16704"/>
    <n v="17119"/>
    <n v="1"/>
    <x v="1"/>
    <n v="11"/>
    <n v="3"/>
    <n v="3"/>
    <n v="0"/>
    <n v="21"/>
    <n v="2"/>
    <n v="3"/>
    <n v="21"/>
    <n v="6"/>
    <n v="8"/>
    <n v="6"/>
    <s v="40-49"/>
  </r>
  <r>
    <n v="32"/>
    <x v="1"/>
    <s v="Travel_Frequently"/>
    <n v="585"/>
    <x v="1"/>
    <n v="10"/>
    <n v="3"/>
    <s v="Life Sciences"/>
    <n v="1720"/>
    <n v="1"/>
    <s v="Male"/>
    <n v="56"/>
    <n v="3"/>
    <n v="1"/>
    <x v="1"/>
    <n v="3"/>
    <s v="Married"/>
    <n v="3433"/>
    <n v="17360"/>
    <n v="6"/>
    <x v="1"/>
    <n v="13"/>
    <n v="3"/>
    <n v="1"/>
    <n v="1"/>
    <n v="10"/>
    <n v="3"/>
    <n v="2"/>
    <n v="5"/>
    <n v="2"/>
    <n v="1"/>
    <n v="3"/>
    <s v="30-39"/>
  </r>
  <r>
    <n v="31"/>
    <x v="1"/>
    <s v="Travel_Rarely"/>
    <n v="741"/>
    <x v="1"/>
    <n v="2"/>
    <n v="4"/>
    <s v="Life Sciences"/>
    <n v="1721"/>
    <n v="2"/>
    <s v="Male"/>
    <n v="69"/>
    <n v="3"/>
    <n v="1"/>
    <x v="2"/>
    <n v="3"/>
    <s v="Married"/>
    <n v="3477"/>
    <n v="18103"/>
    <n v="1"/>
    <x v="1"/>
    <n v="14"/>
    <n v="3"/>
    <n v="4"/>
    <n v="1"/>
    <n v="6"/>
    <n v="2"/>
    <n v="4"/>
    <n v="5"/>
    <n v="2"/>
    <n v="0"/>
    <n v="3"/>
    <s v="30-39"/>
  </r>
  <r>
    <n v="41"/>
    <x v="1"/>
    <s v="Non-Travel"/>
    <n v="552"/>
    <x v="2"/>
    <n v="4"/>
    <n v="3"/>
    <s v="Human Resources"/>
    <n v="1722"/>
    <n v="3"/>
    <s v="Male"/>
    <n v="60"/>
    <n v="1"/>
    <n v="2"/>
    <x v="8"/>
    <n v="2"/>
    <s v="Married"/>
    <n v="6430"/>
    <n v="20794"/>
    <n v="6"/>
    <x v="1"/>
    <n v="19"/>
    <n v="3"/>
    <n v="2"/>
    <n v="1"/>
    <n v="10"/>
    <n v="4"/>
    <n v="3"/>
    <n v="3"/>
    <n v="2"/>
    <n v="1"/>
    <n v="2"/>
    <s v="40-49"/>
  </r>
  <r>
    <n v="40"/>
    <x v="1"/>
    <s v="Travel_Rarely"/>
    <n v="369"/>
    <x v="1"/>
    <n v="8"/>
    <n v="2"/>
    <s v="Life Sciences"/>
    <n v="1724"/>
    <n v="2"/>
    <s v="Female"/>
    <n v="92"/>
    <n v="3"/>
    <n v="2"/>
    <x v="3"/>
    <n v="1"/>
    <s v="Married"/>
    <n v="6516"/>
    <n v="5041"/>
    <n v="2"/>
    <x v="0"/>
    <n v="16"/>
    <n v="3"/>
    <n v="2"/>
    <n v="1"/>
    <n v="18"/>
    <n v="3"/>
    <n v="3"/>
    <n v="1"/>
    <n v="0"/>
    <n v="0"/>
    <n v="0"/>
    <s v="40-49"/>
  </r>
  <r>
    <n v="24"/>
    <x v="1"/>
    <s v="Travel_Rarely"/>
    <n v="506"/>
    <x v="1"/>
    <n v="29"/>
    <n v="1"/>
    <s v="Medical"/>
    <n v="1725"/>
    <n v="2"/>
    <s v="Male"/>
    <n v="91"/>
    <n v="3"/>
    <n v="1"/>
    <x v="2"/>
    <n v="1"/>
    <s v="Divorced"/>
    <n v="3907"/>
    <n v="3622"/>
    <n v="1"/>
    <x v="1"/>
    <n v="13"/>
    <n v="3"/>
    <n v="2"/>
    <n v="3"/>
    <n v="6"/>
    <n v="2"/>
    <n v="4"/>
    <n v="6"/>
    <n v="2"/>
    <n v="1"/>
    <n v="2"/>
    <s v="Below 30"/>
  </r>
  <r>
    <n v="46"/>
    <x v="1"/>
    <s v="Travel_Rarely"/>
    <n v="717"/>
    <x v="1"/>
    <n v="13"/>
    <n v="4"/>
    <s v="Life Sciences"/>
    <n v="1727"/>
    <n v="3"/>
    <s v="Male"/>
    <n v="34"/>
    <n v="3"/>
    <n v="2"/>
    <x v="4"/>
    <n v="2"/>
    <s v="Single"/>
    <n v="5562"/>
    <n v="9697"/>
    <n v="6"/>
    <x v="1"/>
    <n v="14"/>
    <n v="3"/>
    <n v="4"/>
    <n v="0"/>
    <n v="19"/>
    <n v="3"/>
    <n v="3"/>
    <n v="10"/>
    <n v="7"/>
    <n v="0"/>
    <n v="9"/>
    <s v="40-49"/>
  </r>
  <r>
    <n v="35"/>
    <x v="1"/>
    <s v="Travel_Rarely"/>
    <n v="1370"/>
    <x v="1"/>
    <n v="27"/>
    <n v="4"/>
    <s v="Life Sciences"/>
    <n v="1728"/>
    <n v="4"/>
    <s v="Male"/>
    <n v="49"/>
    <n v="3"/>
    <n v="2"/>
    <x v="3"/>
    <n v="3"/>
    <s v="Married"/>
    <n v="6883"/>
    <n v="5151"/>
    <n v="2"/>
    <x v="1"/>
    <n v="16"/>
    <n v="3"/>
    <n v="2"/>
    <n v="1"/>
    <n v="17"/>
    <n v="3"/>
    <n v="3"/>
    <n v="7"/>
    <n v="7"/>
    <n v="0"/>
    <n v="7"/>
    <s v="30-39"/>
  </r>
  <r>
    <n v="30"/>
    <x v="1"/>
    <s v="Travel_Rarely"/>
    <n v="793"/>
    <x v="1"/>
    <n v="16"/>
    <n v="1"/>
    <s v="Life Sciences"/>
    <n v="1729"/>
    <n v="2"/>
    <s v="Male"/>
    <n v="33"/>
    <n v="3"/>
    <n v="1"/>
    <x v="1"/>
    <n v="4"/>
    <s v="Married"/>
    <n v="2862"/>
    <n v="3811"/>
    <n v="1"/>
    <x v="1"/>
    <n v="12"/>
    <n v="3"/>
    <n v="2"/>
    <n v="1"/>
    <n v="10"/>
    <n v="2"/>
    <n v="2"/>
    <n v="10"/>
    <n v="0"/>
    <n v="0"/>
    <n v="8"/>
    <s v="30-39"/>
  </r>
  <r>
    <n v="47"/>
    <x v="1"/>
    <s v="Non-Travel"/>
    <n v="543"/>
    <x v="0"/>
    <n v="2"/>
    <n v="4"/>
    <s v="Marketing"/>
    <n v="1731"/>
    <n v="3"/>
    <s v="Male"/>
    <n v="87"/>
    <n v="3"/>
    <n v="2"/>
    <x v="0"/>
    <n v="2"/>
    <s v="Married"/>
    <n v="4978"/>
    <n v="3536"/>
    <n v="7"/>
    <x v="1"/>
    <n v="11"/>
    <n v="3"/>
    <n v="4"/>
    <n v="1"/>
    <n v="4"/>
    <n v="3"/>
    <n v="1"/>
    <n v="1"/>
    <n v="0"/>
    <n v="0"/>
    <n v="0"/>
    <s v="40-49"/>
  </r>
  <r>
    <n v="46"/>
    <x v="1"/>
    <s v="Travel_Rarely"/>
    <n v="1277"/>
    <x v="0"/>
    <n v="2"/>
    <n v="3"/>
    <s v="Life Sciences"/>
    <n v="1732"/>
    <n v="3"/>
    <s v="Male"/>
    <n v="74"/>
    <n v="3"/>
    <n v="3"/>
    <x v="0"/>
    <n v="4"/>
    <s v="Divorced"/>
    <n v="10368"/>
    <n v="5596"/>
    <n v="4"/>
    <x v="0"/>
    <n v="12"/>
    <n v="3"/>
    <n v="2"/>
    <n v="1"/>
    <n v="13"/>
    <n v="5"/>
    <n v="2"/>
    <n v="10"/>
    <n v="6"/>
    <n v="0"/>
    <n v="3"/>
    <s v="40-49"/>
  </r>
  <r>
    <n v="36"/>
    <x v="0"/>
    <s v="Travel_Rarely"/>
    <n v="1456"/>
    <x v="0"/>
    <n v="13"/>
    <n v="5"/>
    <s v="Marketing"/>
    <n v="1733"/>
    <n v="2"/>
    <s v="Male"/>
    <n v="96"/>
    <n v="2"/>
    <n v="2"/>
    <x v="0"/>
    <n v="1"/>
    <s v="Divorced"/>
    <n v="6134"/>
    <n v="8658"/>
    <n v="5"/>
    <x v="0"/>
    <n v="13"/>
    <n v="3"/>
    <n v="2"/>
    <n v="3"/>
    <n v="16"/>
    <n v="3"/>
    <n v="3"/>
    <n v="2"/>
    <n v="2"/>
    <n v="2"/>
    <n v="2"/>
    <s v="30-39"/>
  </r>
  <r>
    <n v="32"/>
    <x v="0"/>
    <s v="Travel_Rarely"/>
    <n v="964"/>
    <x v="0"/>
    <n v="1"/>
    <n v="2"/>
    <s v="Life Sciences"/>
    <n v="1734"/>
    <n v="1"/>
    <s v="Male"/>
    <n v="34"/>
    <n v="1"/>
    <n v="2"/>
    <x v="0"/>
    <n v="2"/>
    <s v="Single"/>
    <n v="6735"/>
    <n v="12147"/>
    <n v="6"/>
    <x v="1"/>
    <n v="15"/>
    <n v="3"/>
    <n v="2"/>
    <n v="0"/>
    <n v="10"/>
    <n v="2"/>
    <n v="3"/>
    <n v="0"/>
    <n v="0"/>
    <n v="0"/>
    <n v="0"/>
    <s v="30-39"/>
  </r>
  <r>
    <n v="23"/>
    <x v="1"/>
    <s v="Travel_Rarely"/>
    <n v="160"/>
    <x v="1"/>
    <n v="4"/>
    <n v="1"/>
    <s v="Medical"/>
    <n v="1735"/>
    <n v="3"/>
    <s v="Female"/>
    <n v="51"/>
    <n v="3"/>
    <n v="1"/>
    <x v="2"/>
    <n v="2"/>
    <s v="Single"/>
    <n v="3295"/>
    <n v="12862"/>
    <n v="1"/>
    <x v="1"/>
    <n v="13"/>
    <n v="3"/>
    <n v="3"/>
    <n v="0"/>
    <n v="3"/>
    <n v="3"/>
    <n v="1"/>
    <n v="3"/>
    <n v="2"/>
    <n v="1"/>
    <n v="2"/>
    <s v="Below 30"/>
  </r>
  <r>
    <n v="31"/>
    <x v="1"/>
    <s v="Travel_Frequently"/>
    <n v="163"/>
    <x v="1"/>
    <n v="24"/>
    <n v="1"/>
    <s v="Technical Degree"/>
    <n v="1736"/>
    <n v="4"/>
    <s v="Female"/>
    <n v="30"/>
    <n v="3"/>
    <n v="2"/>
    <x v="3"/>
    <n v="4"/>
    <s v="Single"/>
    <n v="5238"/>
    <n v="6670"/>
    <n v="2"/>
    <x v="1"/>
    <n v="20"/>
    <n v="4"/>
    <n v="4"/>
    <n v="0"/>
    <n v="9"/>
    <n v="3"/>
    <n v="2"/>
    <n v="5"/>
    <n v="4"/>
    <n v="1"/>
    <n v="4"/>
    <s v="30-39"/>
  </r>
  <r>
    <n v="39"/>
    <x v="1"/>
    <s v="Non-Travel"/>
    <n v="792"/>
    <x v="1"/>
    <n v="1"/>
    <n v="3"/>
    <s v="Life Sciences"/>
    <n v="1737"/>
    <n v="4"/>
    <s v="Male"/>
    <n v="77"/>
    <n v="3"/>
    <n v="2"/>
    <x v="2"/>
    <n v="4"/>
    <s v="Married"/>
    <n v="6472"/>
    <n v="8989"/>
    <n v="1"/>
    <x v="0"/>
    <n v="15"/>
    <n v="3"/>
    <n v="4"/>
    <n v="1"/>
    <n v="9"/>
    <n v="2"/>
    <n v="3"/>
    <n v="9"/>
    <n v="8"/>
    <n v="5"/>
    <n v="8"/>
    <s v="30-39"/>
  </r>
  <r>
    <n v="32"/>
    <x v="1"/>
    <s v="Travel_Rarely"/>
    <n v="371"/>
    <x v="0"/>
    <n v="19"/>
    <n v="3"/>
    <s v="Life Sciences"/>
    <n v="1739"/>
    <n v="4"/>
    <s v="Male"/>
    <n v="80"/>
    <n v="1"/>
    <n v="3"/>
    <x v="0"/>
    <n v="3"/>
    <s v="Married"/>
    <n v="9610"/>
    <n v="3840"/>
    <n v="3"/>
    <x v="1"/>
    <n v="13"/>
    <n v="3"/>
    <n v="3"/>
    <n v="1"/>
    <n v="10"/>
    <n v="2"/>
    <n v="1"/>
    <n v="4"/>
    <n v="3"/>
    <n v="0"/>
    <n v="2"/>
    <s v="30-39"/>
  </r>
  <r>
    <n v="40"/>
    <x v="1"/>
    <s v="Travel_Rarely"/>
    <n v="611"/>
    <x v="0"/>
    <n v="7"/>
    <n v="4"/>
    <s v="Medical"/>
    <n v="1740"/>
    <n v="2"/>
    <s v="Male"/>
    <n v="88"/>
    <n v="3"/>
    <n v="5"/>
    <x v="5"/>
    <n v="2"/>
    <s v="Single"/>
    <n v="19833"/>
    <n v="4349"/>
    <n v="1"/>
    <x v="1"/>
    <n v="14"/>
    <n v="3"/>
    <n v="2"/>
    <n v="0"/>
    <n v="21"/>
    <n v="3"/>
    <n v="2"/>
    <n v="21"/>
    <n v="8"/>
    <n v="12"/>
    <n v="8"/>
    <s v="40-49"/>
  </r>
  <r>
    <n v="45"/>
    <x v="1"/>
    <s v="Travel_Rarely"/>
    <n v="176"/>
    <x v="2"/>
    <n v="4"/>
    <n v="3"/>
    <s v="Life Sciences"/>
    <n v="1744"/>
    <n v="3"/>
    <s v="Female"/>
    <n v="56"/>
    <n v="1"/>
    <n v="3"/>
    <x v="8"/>
    <n v="3"/>
    <s v="Married"/>
    <n v="9756"/>
    <n v="6595"/>
    <n v="4"/>
    <x v="1"/>
    <n v="21"/>
    <n v="4"/>
    <n v="3"/>
    <n v="2"/>
    <n v="9"/>
    <n v="2"/>
    <n v="4"/>
    <n v="5"/>
    <n v="0"/>
    <n v="0"/>
    <n v="3"/>
    <s v="40-49"/>
  </r>
  <r>
    <n v="30"/>
    <x v="1"/>
    <s v="Travel_Frequently"/>
    <n v="1312"/>
    <x v="1"/>
    <n v="2"/>
    <n v="4"/>
    <s v="Technical Degree"/>
    <n v="1745"/>
    <n v="4"/>
    <s v="Female"/>
    <n v="78"/>
    <n v="2"/>
    <n v="1"/>
    <x v="1"/>
    <n v="1"/>
    <s v="Single"/>
    <n v="4968"/>
    <n v="26427"/>
    <n v="0"/>
    <x v="1"/>
    <n v="16"/>
    <n v="3"/>
    <n v="4"/>
    <n v="0"/>
    <n v="10"/>
    <n v="2"/>
    <n v="3"/>
    <n v="9"/>
    <n v="7"/>
    <n v="0"/>
    <n v="7"/>
    <s v="30-39"/>
  </r>
  <r>
    <n v="24"/>
    <x v="1"/>
    <s v="Travel_Frequently"/>
    <n v="897"/>
    <x v="2"/>
    <n v="10"/>
    <n v="3"/>
    <s v="Medical"/>
    <n v="1746"/>
    <n v="1"/>
    <s v="Male"/>
    <n v="59"/>
    <n v="3"/>
    <n v="1"/>
    <x v="8"/>
    <n v="4"/>
    <s v="Married"/>
    <n v="2145"/>
    <n v="2097"/>
    <n v="0"/>
    <x v="1"/>
    <n v="14"/>
    <n v="3"/>
    <n v="4"/>
    <n v="1"/>
    <n v="3"/>
    <n v="2"/>
    <n v="3"/>
    <n v="2"/>
    <n v="2"/>
    <n v="2"/>
    <n v="1"/>
    <s v="Below 30"/>
  </r>
  <r>
    <n v="30"/>
    <x v="0"/>
    <s v="Travel_Frequently"/>
    <n v="600"/>
    <x v="2"/>
    <n v="8"/>
    <n v="3"/>
    <s v="Human Resources"/>
    <n v="1747"/>
    <n v="3"/>
    <s v="Female"/>
    <n v="66"/>
    <n v="2"/>
    <n v="1"/>
    <x v="8"/>
    <n v="4"/>
    <s v="Divorced"/>
    <n v="2180"/>
    <n v="9732"/>
    <n v="6"/>
    <x v="1"/>
    <n v="11"/>
    <n v="3"/>
    <n v="3"/>
    <n v="1"/>
    <n v="6"/>
    <n v="0"/>
    <n v="2"/>
    <n v="4"/>
    <n v="2"/>
    <n v="1"/>
    <n v="2"/>
    <s v="30-39"/>
  </r>
  <r>
    <n v="31"/>
    <x v="1"/>
    <s v="Travel_Rarely"/>
    <n v="1003"/>
    <x v="0"/>
    <n v="5"/>
    <n v="3"/>
    <s v="Technical Degree"/>
    <n v="1749"/>
    <n v="1"/>
    <s v="Male"/>
    <n v="51"/>
    <n v="3"/>
    <n v="2"/>
    <x v="0"/>
    <n v="3"/>
    <s v="Married"/>
    <n v="8346"/>
    <n v="20943"/>
    <n v="1"/>
    <x v="1"/>
    <n v="19"/>
    <n v="3"/>
    <n v="3"/>
    <n v="1"/>
    <n v="6"/>
    <n v="3"/>
    <n v="3"/>
    <n v="5"/>
    <n v="2"/>
    <n v="0"/>
    <n v="2"/>
    <s v="30-39"/>
  </r>
  <r>
    <n v="27"/>
    <x v="1"/>
    <s v="Travel_Rarely"/>
    <n v="1054"/>
    <x v="1"/>
    <n v="8"/>
    <n v="3"/>
    <s v="Medical"/>
    <n v="1751"/>
    <n v="3"/>
    <s v="Female"/>
    <n v="67"/>
    <n v="3"/>
    <n v="1"/>
    <x v="1"/>
    <n v="4"/>
    <s v="Single"/>
    <n v="3445"/>
    <n v="6152"/>
    <n v="1"/>
    <x v="1"/>
    <n v="11"/>
    <n v="3"/>
    <n v="3"/>
    <n v="0"/>
    <n v="6"/>
    <n v="5"/>
    <n v="2"/>
    <n v="6"/>
    <n v="2"/>
    <n v="1"/>
    <n v="4"/>
    <s v="Below 30"/>
  </r>
  <r>
    <n v="29"/>
    <x v="0"/>
    <s v="Travel_Rarely"/>
    <n v="428"/>
    <x v="0"/>
    <n v="9"/>
    <n v="3"/>
    <s v="Marketing"/>
    <n v="1752"/>
    <n v="2"/>
    <s v="Female"/>
    <n v="52"/>
    <n v="1"/>
    <n v="1"/>
    <x v="6"/>
    <n v="2"/>
    <s v="Single"/>
    <n v="2760"/>
    <n v="14630"/>
    <n v="1"/>
    <x v="1"/>
    <n v="13"/>
    <n v="3"/>
    <n v="3"/>
    <n v="0"/>
    <n v="2"/>
    <n v="3"/>
    <n v="3"/>
    <n v="2"/>
    <n v="2"/>
    <n v="2"/>
    <n v="2"/>
    <s v="Below 30"/>
  </r>
  <r>
    <n v="29"/>
    <x v="1"/>
    <s v="Travel_Frequently"/>
    <n v="461"/>
    <x v="1"/>
    <n v="1"/>
    <n v="3"/>
    <s v="Life Sciences"/>
    <n v="1753"/>
    <n v="4"/>
    <s v="Male"/>
    <n v="70"/>
    <n v="4"/>
    <n v="2"/>
    <x v="4"/>
    <n v="3"/>
    <s v="Single"/>
    <n v="6294"/>
    <n v="23060"/>
    <n v="8"/>
    <x v="0"/>
    <n v="12"/>
    <n v="3"/>
    <n v="4"/>
    <n v="0"/>
    <n v="10"/>
    <n v="5"/>
    <n v="4"/>
    <n v="3"/>
    <n v="2"/>
    <n v="0"/>
    <n v="2"/>
    <s v="Below 30"/>
  </r>
  <r>
    <n v="30"/>
    <x v="1"/>
    <s v="Travel_Rarely"/>
    <n v="979"/>
    <x v="0"/>
    <n v="15"/>
    <n v="2"/>
    <s v="Marketing"/>
    <n v="1754"/>
    <n v="3"/>
    <s v="Male"/>
    <n v="94"/>
    <n v="2"/>
    <n v="3"/>
    <x v="0"/>
    <n v="1"/>
    <s v="Divorced"/>
    <n v="7140"/>
    <n v="3088"/>
    <n v="2"/>
    <x v="1"/>
    <n v="11"/>
    <n v="3"/>
    <n v="1"/>
    <n v="1"/>
    <n v="12"/>
    <n v="2"/>
    <n v="3"/>
    <n v="7"/>
    <n v="7"/>
    <n v="1"/>
    <n v="7"/>
    <s v="30-39"/>
  </r>
  <r>
    <n v="34"/>
    <x v="1"/>
    <s v="Travel_Rarely"/>
    <n v="181"/>
    <x v="1"/>
    <n v="2"/>
    <n v="4"/>
    <s v="Medical"/>
    <n v="1755"/>
    <n v="4"/>
    <s v="Male"/>
    <n v="97"/>
    <n v="4"/>
    <n v="1"/>
    <x v="1"/>
    <n v="4"/>
    <s v="Married"/>
    <n v="2932"/>
    <n v="5586"/>
    <n v="0"/>
    <x v="0"/>
    <n v="14"/>
    <n v="3"/>
    <n v="1"/>
    <n v="3"/>
    <n v="6"/>
    <n v="3"/>
    <n v="3"/>
    <n v="5"/>
    <n v="0"/>
    <n v="1"/>
    <n v="2"/>
    <s v="30-39"/>
  </r>
  <r>
    <n v="33"/>
    <x v="1"/>
    <s v="Non-Travel"/>
    <n v="1283"/>
    <x v="0"/>
    <n v="2"/>
    <n v="3"/>
    <s v="Marketing"/>
    <n v="1756"/>
    <n v="4"/>
    <s v="Female"/>
    <n v="62"/>
    <n v="3"/>
    <n v="2"/>
    <x v="0"/>
    <n v="2"/>
    <s v="Single"/>
    <n v="5147"/>
    <n v="10697"/>
    <n v="8"/>
    <x v="1"/>
    <n v="15"/>
    <n v="3"/>
    <n v="4"/>
    <n v="0"/>
    <n v="13"/>
    <n v="2"/>
    <n v="2"/>
    <n v="11"/>
    <n v="7"/>
    <n v="1"/>
    <n v="7"/>
    <s v="30-39"/>
  </r>
  <r>
    <n v="49"/>
    <x v="1"/>
    <s v="Travel_Rarely"/>
    <n v="1313"/>
    <x v="0"/>
    <n v="11"/>
    <n v="4"/>
    <s v="Marketing"/>
    <n v="1757"/>
    <n v="4"/>
    <s v="Female"/>
    <n v="80"/>
    <n v="3"/>
    <n v="2"/>
    <x v="0"/>
    <n v="4"/>
    <s v="Single"/>
    <n v="4507"/>
    <n v="8191"/>
    <n v="3"/>
    <x v="1"/>
    <n v="12"/>
    <n v="3"/>
    <n v="3"/>
    <n v="0"/>
    <n v="8"/>
    <n v="1"/>
    <n v="4"/>
    <n v="5"/>
    <n v="1"/>
    <n v="0"/>
    <n v="4"/>
    <s v="40-49"/>
  </r>
  <r>
    <n v="33"/>
    <x v="0"/>
    <s v="Travel_Rarely"/>
    <n v="211"/>
    <x v="0"/>
    <n v="16"/>
    <n v="3"/>
    <s v="Life Sciences"/>
    <n v="1758"/>
    <n v="1"/>
    <s v="Female"/>
    <n v="74"/>
    <n v="3"/>
    <n v="3"/>
    <x v="0"/>
    <n v="1"/>
    <s v="Single"/>
    <n v="8564"/>
    <n v="10092"/>
    <n v="2"/>
    <x v="0"/>
    <n v="20"/>
    <n v="4"/>
    <n v="3"/>
    <n v="0"/>
    <n v="11"/>
    <n v="2"/>
    <n v="2"/>
    <n v="0"/>
    <n v="0"/>
    <n v="0"/>
    <n v="0"/>
    <s v="30-39"/>
  </r>
  <r>
    <n v="38"/>
    <x v="1"/>
    <s v="Travel_Frequently"/>
    <n v="594"/>
    <x v="1"/>
    <n v="2"/>
    <n v="2"/>
    <s v="Medical"/>
    <n v="1760"/>
    <n v="3"/>
    <s v="Female"/>
    <n v="75"/>
    <n v="2"/>
    <n v="1"/>
    <x v="2"/>
    <n v="2"/>
    <s v="Married"/>
    <n v="2468"/>
    <n v="15963"/>
    <n v="4"/>
    <x v="1"/>
    <n v="14"/>
    <n v="3"/>
    <n v="2"/>
    <n v="1"/>
    <n v="9"/>
    <n v="4"/>
    <n v="2"/>
    <n v="6"/>
    <n v="1"/>
    <n v="0"/>
    <n v="5"/>
    <s v="30-39"/>
  </r>
  <r>
    <n v="31"/>
    <x v="0"/>
    <s v="Travel_Rarely"/>
    <n v="1079"/>
    <x v="0"/>
    <n v="16"/>
    <n v="4"/>
    <s v="Marketing"/>
    <n v="1761"/>
    <n v="1"/>
    <s v="Male"/>
    <n v="70"/>
    <n v="3"/>
    <n v="3"/>
    <x v="0"/>
    <n v="3"/>
    <s v="Married"/>
    <n v="8161"/>
    <n v="19002"/>
    <n v="2"/>
    <x v="1"/>
    <n v="13"/>
    <n v="3"/>
    <n v="1"/>
    <n v="3"/>
    <n v="10"/>
    <n v="2"/>
    <n v="3"/>
    <n v="1"/>
    <n v="0"/>
    <n v="0"/>
    <n v="0"/>
    <s v="30-39"/>
  </r>
  <r>
    <n v="29"/>
    <x v="1"/>
    <s v="Travel_Rarely"/>
    <n v="590"/>
    <x v="1"/>
    <n v="4"/>
    <n v="3"/>
    <s v="Technical Degree"/>
    <n v="1762"/>
    <n v="4"/>
    <s v="Female"/>
    <n v="91"/>
    <n v="2"/>
    <n v="1"/>
    <x v="1"/>
    <n v="1"/>
    <s v="Divorced"/>
    <n v="2109"/>
    <n v="10007"/>
    <n v="1"/>
    <x v="1"/>
    <n v="13"/>
    <n v="3"/>
    <n v="3"/>
    <n v="1"/>
    <n v="1"/>
    <n v="2"/>
    <n v="3"/>
    <n v="1"/>
    <n v="0"/>
    <n v="0"/>
    <n v="0"/>
    <s v="Below 30"/>
  </r>
  <r>
    <n v="30"/>
    <x v="1"/>
    <s v="Travel_Rarely"/>
    <n v="305"/>
    <x v="1"/>
    <n v="16"/>
    <n v="3"/>
    <s v="Life Sciences"/>
    <n v="1763"/>
    <n v="3"/>
    <s v="Male"/>
    <n v="58"/>
    <n v="4"/>
    <n v="2"/>
    <x v="4"/>
    <n v="3"/>
    <s v="Married"/>
    <n v="5294"/>
    <n v="9128"/>
    <n v="3"/>
    <x v="1"/>
    <n v="16"/>
    <n v="3"/>
    <n v="3"/>
    <n v="1"/>
    <n v="10"/>
    <n v="3"/>
    <n v="3"/>
    <n v="7"/>
    <n v="0"/>
    <n v="1"/>
    <n v="7"/>
    <s v="30-39"/>
  </r>
  <r>
    <n v="32"/>
    <x v="1"/>
    <s v="Non-Travel"/>
    <n v="953"/>
    <x v="1"/>
    <n v="5"/>
    <n v="4"/>
    <s v="Technical Degree"/>
    <n v="1764"/>
    <n v="2"/>
    <s v="Male"/>
    <n v="65"/>
    <n v="3"/>
    <n v="1"/>
    <x v="1"/>
    <n v="2"/>
    <s v="Single"/>
    <n v="2718"/>
    <n v="17674"/>
    <n v="2"/>
    <x v="1"/>
    <n v="14"/>
    <n v="3"/>
    <n v="2"/>
    <n v="0"/>
    <n v="12"/>
    <n v="3"/>
    <n v="3"/>
    <n v="7"/>
    <n v="7"/>
    <n v="0"/>
    <n v="7"/>
    <s v="30-39"/>
  </r>
  <r>
    <n v="38"/>
    <x v="1"/>
    <s v="Travel_Rarely"/>
    <n v="833"/>
    <x v="1"/>
    <n v="18"/>
    <n v="3"/>
    <s v="Medical"/>
    <n v="1766"/>
    <n v="2"/>
    <s v="Male"/>
    <n v="60"/>
    <n v="1"/>
    <n v="2"/>
    <x v="4"/>
    <n v="4"/>
    <s v="Married"/>
    <n v="5811"/>
    <n v="24539"/>
    <n v="3"/>
    <x v="0"/>
    <n v="16"/>
    <n v="3"/>
    <n v="3"/>
    <n v="1"/>
    <n v="15"/>
    <n v="2"/>
    <n v="3"/>
    <n v="1"/>
    <n v="0"/>
    <n v="1"/>
    <n v="0"/>
    <s v="30-39"/>
  </r>
  <r>
    <n v="43"/>
    <x v="0"/>
    <s v="Travel_Frequently"/>
    <n v="807"/>
    <x v="1"/>
    <n v="17"/>
    <n v="3"/>
    <s v="Technical Degree"/>
    <n v="1767"/>
    <n v="3"/>
    <s v="Male"/>
    <n v="38"/>
    <n v="2"/>
    <n v="1"/>
    <x v="1"/>
    <n v="3"/>
    <s v="Married"/>
    <n v="2437"/>
    <n v="15587"/>
    <n v="9"/>
    <x v="0"/>
    <n v="16"/>
    <n v="3"/>
    <n v="4"/>
    <n v="1"/>
    <n v="6"/>
    <n v="4"/>
    <n v="3"/>
    <n v="1"/>
    <n v="0"/>
    <n v="0"/>
    <n v="0"/>
    <s v="40-49"/>
  </r>
  <r>
    <n v="42"/>
    <x v="1"/>
    <s v="Travel_Rarely"/>
    <n v="855"/>
    <x v="1"/>
    <n v="12"/>
    <n v="3"/>
    <s v="Medical"/>
    <n v="1768"/>
    <n v="2"/>
    <s v="Male"/>
    <n v="57"/>
    <n v="3"/>
    <n v="1"/>
    <x v="2"/>
    <n v="2"/>
    <s v="Divorced"/>
    <n v="2766"/>
    <n v="8952"/>
    <n v="8"/>
    <x v="1"/>
    <n v="22"/>
    <n v="4"/>
    <n v="2"/>
    <n v="3"/>
    <n v="7"/>
    <n v="6"/>
    <n v="2"/>
    <n v="5"/>
    <n v="3"/>
    <n v="0"/>
    <n v="4"/>
    <s v="40-49"/>
  </r>
  <r>
    <n v="55"/>
    <x v="1"/>
    <s v="Travel_Rarely"/>
    <n v="478"/>
    <x v="1"/>
    <n v="2"/>
    <n v="3"/>
    <s v="Medical"/>
    <n v="1770"/>
    <n v="3"/>
    <s v="Male"/>
    <n v="60"/>
    <n v="2"/>
    <n v="5"/>
    <x v="7"/>
    <n v="1"/>
    <s v="Married"/>
    <n v="19038"/>
    <n v="19805"/>
    <n v="8"/>
    <x v="1"/>
    <n v="12"/>
    <n v="3"/>
    <n v="2"/>
    <n v="3"/>
    <n v="34"/>
    <n v="2"/>
    <n v="3"/>
    <n v="1"/>
    <n v="0"/>
    <n v="0"/>
    <n v="0"/>
    <s v="50+"/>
  </r>
  <r>
    <n v="33"/>
    <x v="1"/>
    <s v="Non-Travel"/>
    <n v="775"/>
    <x v="1"/>
    <n v="4"/>
    <n v="3"/>
    <s v="Technical Degree"/>
    <n v="1771"/>
    <n v="4"/>
    <s v="Male"/>
    <n v="90"/>
    <n v="3"/>
    <n v="2"/>
    <x v="1"/>
    <n v="2"/>
    <s v="Divorced"/>
    <n v="3055"/>
    <n v="6194"/>
    <n v="5"/>
    <x v="1"/>
    <n v="15"/>
    <n v="3"/>
    <n v="4"/>
    <n v="2"/>
    <n v="11"/>
    <n v="2"/>
    <n v="2"/>
    <n v="9"/>
    <n v="8"/>
    <n v="1"/>
    <n v="7"/>
    <s v="30-39"/>
  </r>
  <r>
    <n v="41"/>
    <x v="1"/>
    <s v="Travel_Rarely"/>
    <n v="548"/>
    <x v="1"/>
    <n v="9"/>
    <n v="4"/>
    <s v="Life Sciences"/>
    <n v="1772"/>
    <n v="3"/>
    <s v="Male"/>
    <n v="94"/>
    <n v="3"/>
    <n v="1"/>
    <x v="2"/>
    <n v="1"/>
    <s v="Divorced"/>
    <n v="2289"/>
    <n v="20520"/>
    <n v="1"/>
    <x v="1"/>
    <n v="20"/>
    <n v="4"/>
    <n v="2"/>
    <n v="2"/>
    <n v="5"/>
    <n v="2"/>
    <n v="3"/>
    <n v="5"/>
    <n v="3"/>
    <n v="0"/>
    <n v="4"/>
    <s v="40-49"/>
  </r>
  <r>
    <n v="34"/>
    <x v="1"/>
    <s v="Non-Travel"/>
    <n v="1375"/>
    <x v="0"/>
    <n v="10"/>
    <n v="3"/>
    <s v="Life Sciences"/>
    <n v="1774"/>
    <n v="4"/>
    <s v="Male"/>
    <n v="87"/>
    <n v="3"/>
    <n v="2"/>
    <x v="0"/>
    <n v="3"/>
    <s v="Divorced"/>
    <n v="4001"/>
    <n v="12313"/>
    <n v="1"/>
    <x v="0"/>
    <n v="14"/>
    <n v="3"/>
    <n v="3"/>
    <n v="1"/>
    <n v="15"/>
    <n v="3"/>
    <n v="3"/>
    <n v="15"/>
    <n v="14"/>
    <n v="0"/>
    <n v="7"/>
    <s v="30-39"/>
  </r>
  <r>
    <n v="53"/>
    <x v="1"/>
    <s v="Non-Travel"/>
    <n v="661"/>
    <x v="1"/>
    <n v="1"/>
    <n v="4"/>
    <s v="Medical"/>
    <n v="1775"/>
    <n v="1"/>
    <s v="Female"/>
    <n v="60"/>
    <n v="2"/>
    <n v="4"/>
    <x v="3"/>
    <n v="3"/>
    <s v="Married"/>
    <n v="12965"/>
    <n v="22308"/>
    <n v="4"/>
    <x v="0"/>
    <n v="20"/>
    <n v="4"/>
    <n v="4"/>
    <n v="3"/>
    <n v="27"/>
    <n v="2"/>
    <n v="2"/>
    <n v="3"/>
    <n v="2"/>
    <n v="0"/>
    <n v="2"/>
    <s v="50+"/>
  </r>
  <r>
    <n v="43"/>
    <x v="1"/>
    <s v="Travel_Rarely"/>
    <n v="244"/>
    <x v="2"/>
    <n v="2"/>
    <n v="3"/>
    <s v="Life Sciences"/>
    <n v="1778"/>
    <n v="2"/>
    <s v="Male"/>
    <n v="97"/>
    <n v="3"/>
    <n v="1"/>
    <x v="8"/>
    <n v="4"/>
    <s v="Single"/>
    <n v="3539"/>
    <n v="5033"/>
    <n v="0"/>
    <x v="1"/>
    <n v="13"/>
    <n v="3"/>
    <n v="2"/>
    <n v="0"/>
    <n v="10"/>
    <n v="5"/>
    <n v="3"/>
    <n v="9"/>
    <n v="7"/>
    <n v="1"/>
    <n v="8"/>
    <s v="40-49"/>
  </r>
  <r>
    <n v="34"/>
    <x v="1"/>
    <s v="Travel_Rarely"/>
    <n v="511"/>
    <x v="0"/>
    <n v="3"/>
    <n v="2"/>
    <s v="Life Sciences"/>
    <n v="1779"/>
    <n v="4"/>
    <s v="Female"/>
    <n v="32"/>
    <n v="1"/>
    <n v="2"/>
    <x v="0"/>
    <n v="4"/>
    <s v="Single"/>
    <n v="6029"/>
    <n v="25353"/>
    <n v="5"/>
    <x v="1"/>
    <n v="12"/>
    <n v="3"/>
    <n v="1"/>
    <n v="0"/>
    <n v="6"/>
    <n v="3"/>
    <n v="3"/>
    <n v="2"/>
    <n v="2"/>
    <n v="2"/>
    <n v="2"/>
    <s v="30-39"/>
  </r>
  <r>
    <n v="21"/>
    <x v="0"/>
    <s v="Travel_Rarely"/>
    <n v="337"/>
    <x v="0"/>
    <n v="7"/>
    <n v="1"/>
    <s v="Marketing"/>
    <n v="1780"/>
    <n v="2"/>
    <s v="Male"/>
    <n v="31"/>
    <n v="3"/>
    <n v="1"/>
    <x v="6"/>
    <n v="2"/>
    <s v="Single"/>
    <n v="2679"/>
    <n v="4567"/>
    <n v="1"/>
    <x v="1"/>
    <n v="13"/>
    <n v="3"/>
    <n v="2"/>
    <n v="0"/>
    <n v="1"/>
    <n v="3"/>
    <n v="3"/>
    <n v="1"/>
    <n v="0"/>
    <n v="1"/>
    <n v="0"/>
    <s v="Below 30"/>
  </r>
  <r>
    <n v="38"/>
    <x v="1"/>
    <s v="Travel_Rarely"/>
    <n v="1153"/>
    <x v="1"/>
    <n v="6"/>
    <n v="2"/>
    <s v="Other"/>
    <n v="1782"/>
    <n v="4"/>
    <s v="Female"/>
    <n v="40"/>
    <n v="2"/>
    <n v="1"/>
    <x v="2"/>
    <n v="3"/>
    <s v="Married"/>
    <n v="3702"/>
    <n v="16376"/>
    <n v="1"/>
    <x v="1"/>
    <n v="11"/>
    <n v="3"/>
    <n v="2"/>
    <n v="1"/>
    <n v="5"/>
    <n v="3"/>
    <n v="3"/>
    <n v="5"/>
    <n v="4"/>
    <n v="0"/>
    <n v="4"/>
    <s v="30-39"/>
  </r>
  <r>
    <n v="22"/>
    <x v="0"/>
    <s v="Travel_Rarely"/>
    <n v="1294"/>
    <x v="1"/>
    <n v="8"/>
    <n v="1"/>
    <s v="Medical"/>
    <n v="1783"/>
    <n v="3"/>
    <s v="Female"/>
    <n v="79"/>
    <n v="3"/>
    <n v="1"/>
    <x v="2"/>
    <n v="1"/>
    <s v="Married"/>
    <n v="2398"/>
    <n v="15999"/>
    <n v="1"/>
    <x v="0"/>
    <n v="17"/>
    <n v="3"/>
    <n v="3"/>
    <n v="0"/>
    <n v="1"/>
    <n v="6"/>
    <n v="3"/>
    <n v="1"/>
    <n v="0"/>
    <n v="0"/>
    <n v="0"/>
    <s v="Below 30"/>
  </r>
  <r>
    <n v="31"/>
    <x v="1"/>
    <s v="Travel_Rarely"/>
    <n v="196"/>
    <x v="0"/>
    <n v="29"/>
    <n v="4"/>
    <s v="Marketing"/>
    <n v="1784"/>
    <n v="1"/>
    <s v="Female"/>
    <n v="91"/>
    <n v="2"/>
    <n v="2"/>
    <x v="0"/>
    <n v="4"/>
    <s v="Married"/>
    <n v="5468"/>
    <n v="13402"/>
    <n v="1"/>
    <x v="1"/>
    <n v="14"/>
    <n v="3"/>
    <n v="1"/>
    <n v="2"/>
    <n v="13"/>
    <n v="3"/>
    <n v="3"/>
    <n v="12"/>
    <n v="7"/>
    <n v="5"/>
    <n v="7"/>
    <s v="30-39"/>
  </r>
  <r>
    <n v="51"/>
    <x v="1"/>
    <s v="Travel_Rarely"/>
    <n v="942"/>
    <x v="1"/>
    <n v="3"/>
    <n v="3"/>
    <s v="Technical Degree"/>
    <n v="1786"/>
    <n v="1"/>
    <s v="Female"/>
    <n v="53"/>
    <n v="3"/>
    <n v="3"/>
    <x v="5"/>
    <n v="3"/>
    <s v="Married"/>
    <n v="13116"/>
    <n v="22984"/>
    <n v="2"/>
    <x v="1"/>
    <n v="11"/>
    <n v="3"/>
    <n v="4"/>
    <n v="0"/>
    <n v="15"/>
    <n v="2"/>
    <n v="3"/>
    <n v="2"/>
    <n v="2"/>
    <n v="2"/>
    <n v="2"/>
    <s v="50+"/>
  </r>
  <r>
    <n v="37"/>
    <x v="1"/>
    <s v="Travel_Rarely"/>
    <n v="589"/>
    <x v="0"/>
    <n v="9"/>
    <n v="2"/>
    <s v="Marketing"/>
    <n v="1787"/>
    <n v="2"/>
    <s v="Male"/>
    <n v="46"/>
    <n v="2"/>
    <n v="2"/>
    <x v="0"/>
    <n v="2"/>
    <s v="Married"/>
    <n v="4189"/>
    <n v="8800"/>
    <n v="1"/>
    <x v="1"/>
    <n v="14"/>
    <n v="3"/>
    <n v="1"/>
    <n v="2"/>
    <n v="5"/>
    <n v="2"/>
    <n v="3"/>
    <n v="5"/>
    <n v="2"/>
    <n v="0"/>
    <n v="3"/>
    <s v="30-39"/>
  </r>
  <r>
    <n v="46"/>
    <x v="1"/>
    <s v="Travel_Rarely"/>
    <n v="734"/>
    <x v="1"/>
    <n v="2"/>
    <n v="4"/>
    <s v="Medical"/>
    <n v="1789"/>
    <n v="3"/>
    <s v="Male"/>
    <n v="46"/>
    <n v="3"/>
    <n v="5"/>
    <x v="7"/>
    <n v="4"/>
    <s v="Divorced"/>
    <n v="19328"/>
    <n v="14218"/>
    <n v="7"/>
    <x v="0"/>
    <n v="17"/>
    <n v="3"/>
    <n v="3"/>
    <n v="1"/>
    <n v="24"/>
    <n v="3"/>
    <n v="3"/>
    <n v="2"/>
    <n v="1"/>
    <n v="2"/>
    <n v="2"/>
    <s v="40-49"/>
  </r>
  <r>
    <n v="36"/>
    <x v="1"/>
    <s v="Travel_Rarely"/>
    <n v="1383"/>
    <x v="1"/>
    <n v="10"/>
    <n v="3"/>
    <s v="Life Sciences"/>
    <n v="1790"/>
    <n v="4"/>
    <s v="Male"/>
    <n v="90"/>
    <n v="3"/>
    <n v="3"/>
    <x v="4"/>
    <n v="1"/>
    <s v="Married"/>
    <n v="8321"/>
    <n v="25949"/>
    <n v="7"/>
    <x v="0"/>
    <n v="13"/>
    <n v="3"/>
    <n v="4"/>
    <n v="1"/>
    <n v="15"/>
    <n v="1"/>
    <n v="3"/>
    <n v="12"/>
    <n v="8"/>
    <n v="5"/>
    <n v="7"/>
    <s v="30-39"/>
  </r>
  <r>
    <n v="44"/>
    <x v="0"/>
    <s v="Travel_Frequently"/>
    <n v="429"/>
    <x v="1"/>
    <n v="1"/>
    <n v="2"/>
    <s v="Medical"/>
    <n v="1792"/>
    <n v="3"/>
    <s v="Male"/>
    <n v="99"/>
    <n v="3"/>
    <n v="1"/>
    <x v="1"/>
    <n v="2"/>
    <s v="Divorced"/>
    <n v="2342"/>
    <n v="11092"/>
    <n v="1"/>
    <x v="0"/>
    <n v="12"/>
    <n v="3"/>
    <n v="3"/>
    <n v="3"/>
    <n v="6"/>
    <n v="2"/>
    <n v="2"/>
    <n v="5"/>
    <n v="3"/>
    <n v="2"/>
    <n v="3"/>
    <s v="40-49"/>
  </r>
  <r>
    <n v="37"/>
    <x v="1"/>
    <s v="Travel_Rarely"/>
    <n v="1239"/>
    <x v="2"/>
    <n v="8"/>
    <n v="2"/>
    <s v="Other"/>
    <n v="1794"/>
    <n v="3"/>
    <s v="Male"/>
    <n v="89"/>
    <n v="3"/>
    <n v="2"/>
    <x v="8"/>
    <n v="2"/>
    <s v="Divorced"/>
    <n v="4071"/>
    <n v="12832"/>
    <n v="2"/>
    <x v="1"/>
    <n v="13"/>
    <n v="3"/>
    <n v="3"/>
    <n v="0"/>
    <n v="19"/>
    <n v="4"/>
    <n v="2"/>
    <n v="10"/>
    <n v="0"/>
    <n v="4"/>
    <n v="7"/>
    <s v="30-39"/>
  </r>
  <r>
    <n v="35"/>
    <x v="0"/>
    <s v="Travel_Rarely"/>
    <n v="303"/>
    <x v="0"/>
    <n v="27"/>
    <n v="3"/>
    <s v="Life Sciences"/>
    <n v="1797"/>
    <n v="3"/>
    <s v="Male"/>
    <n v="84"/>
    <n v="3"/>
    <n v="2"/>
    <x v="0"/>
    <n v="4"/>
    <s v="Single"/>
    <n v="5813"/>
    <n v="13492"/>
    <n v="1"/>
    <x v="0"/>
    <n v="18"/>
    <n v="3"/>
    <n v="4"/>
    <n v="0"/>
    <n v="10"/>
    <n v="2"/>
    <n v="3"/>
    <n v="10"/>
    <n v="7"/>
    <n v="7"/>
    <n v="7"/>
    <s v="30-39"/>
  </r>
  <r>
    <n v="33"/>
    <x v="1"/>
    <s v="Travel_Rarely"/>
    <n v="867"/>
    <x v="1"/>
    <n v="8"/>
    <n v="4"/>
    <s v="Life Sciences"/>
    <n v="1798"/>
    <n v="4"/>
    <s v="Male"/>
    <n v="90"/>
    <n v="4"/>
    <n v="1"/>
    <x v="1"/>
    <n v="1"/>
    <s v="Married"/>
    <n v="3143"/>
    <n v="6076"/>
    <n v="6"/>
    <x v="1"/>
    <n v="19"/>
    <n v="3"/>
    <n v="2"/>
    <n v="1"/>
    <n v="14"/>
    <n v="1"/>
    <n v="3"/>
    <n v="10"/>
    <n v="8"/>
    <n v="7"/>
    <n v="6"/>
    <s v="30-39"/>
  </r>
  <r>
    <n v="28"/>
    <x v="1"/>
    <s v="Travel_Rarely"/>
    <n v="1181"/>
    <x v="1"/>
    <n v="1"/>
    <n v="3"/>
    <s v="Life Sciences"/>
    <n v="1799"/>
    <n v="3"/>
    <s v="Male"/>
    <n v="82"/>
    <n v="3"/>
    <n v="1"/>
    <x v="1"/>
    <n v="4"/>
    <s v="Married"/>
    <n v="2044"/>
    <n v="5531"/>
    <n v="1"/>
    <x v="1"/>
    <n v="11"/>
    <n v="3"/>
    <n v="3"/>
    <n v="1"/>
    <n v="5"/>
    <n v="6"/>
    <n v="4"/>
    <n v="5"/>
    <n v="3"/>
    <n v="0"/>
    <n v="3"/>
    <s v="Below 30"/>
  </r>
  <r>
    <n v="39"/>
    <x v="1"/>
    <s v="Travel_Rarely"/>
    <n v="1253"/>
    <x v="1"/>
    <n v="10"/>
    <n v="1"/>
    <s v="Medical"/>
    <n v="1800"/>
    <n v="3"/>
    <s v="Male"/>
    <n v="65"/>
    <n v="3"/>
    <n v="3"/>
    <x v="7"/>
    <n v="3"/>
    <s v="Single"/>
    <n v="13464"/>
    <n v="7914"/>
    <n v="7"/>
    <x v="1"/>
    <n v="21"/>
    <n v="4"/>
    <n v="3"/>
    <n v="0"/>
    <n v="9"/>
    <n v="3"/>
    <n v="3"/>
    <n v="4"/>
    <n v="3"/>
    <n v="2"/>
    <n v="2"/>
    <s v="30-39"/>
  </r>
  <r>
    <n v="46"/>
    <x v="1"/>
    <s v="Non-Travel"/>
    <n v="849"/>
    <x v="0"/>
    <n v="26"/>
    <n v="2"/>
    <s v="Life Sciences"/>
    <n v="1801"/>
    <n v="2"/>
    <s v="Male"/>
    <n v="98"/>
    <n v="2"/>
    <n v="2"/>
    <x v="0"/>
    <n v="2"/>
    <s v="Single"/>
    <n v="7991"/>
    <n v="25166"/>
    <n v="8"/>
    <x v="1"/>
    <n v="15"/>
    <n v="3"/>
    <n v="3"/>
    <n v="0"/>
    <n v="6"/>
    <n v="3"/>
    <n v="3"/>
    <n v="2"/>
    <n v="2"/>
    <n v="2"/>
    <n v="2"/>
    <s v="40-49"/>
  </r>
  <r>
    <n v="40"/>
    <x v="1"/>
    <s v="Travel_Rarely"/>
    <n v="616"/>
    <x v="1"/>
    <n v="2"/>
    <n v="2"/>
    <s v="Life Sciences"/>
    <n v="1802"/>
    <n v="3"/>
    <s v="Female"/>
    <n v="99"/>
    <n v="3"/>
    <n v="1"/>
    <x v="2"/>
    <n v="1"/>
    <s v="Married"/>
    <n v="3377"/>
    <n v="25605"/>
    <n v="4"/>
    <x v="1"/>
    <n v="17"/>
    <n v="3"/>
    <n v="4"/>
    <n v="1"/>
    <n v="7"/>
    <n v="5"/>
    <n v="2"/>
    <n v="4"/>
    <n v="3"/>
    <n v="0"/>
    <n v="2"/>
    <s v="40-49"/>
  </r>
  <r>
    <n v="42"/>
    <x v="1"/>
    <s v="Travel_Rarely"/>
    <n v="1128"/>
    <x v="1"/>
    <n v="13"/>
    <n v="3"/>
    <s v="Medical"/>
    <n v="1803"/>
    <n v="2"/>
    <s v="Male"/>
    <n v="95"/>
    <n v="4"/>
    <n v="2"/>
    <x v="4"/>
    <n v="1"/>
    <s v="Married"/>
    <n v="5538"/>
    <n v="5696"/>
    <n v="5"/>
    <x v="1"/>
    <n v="18"/>
    <n v="3"/>
    <n v="3"/>
    <n v="2"/>
    <n v="10"/>
    <n v="2"/>
    <n v="2"/>
    <n v="0"/>
    <n v="0"/>
    <n v="0"/>
    <n v="0"/>
    <s v="40-49"/>
  </r>
  <r>
    <n v="35"/>
    <x v="1"/>
    <s v="Non-Travel"/>
    <n v="1180"/>
    <x v="1"/>
    <n v="2"/>
    <n v="2"/>
    <s v="Medical"/>
    <n v="1804"/>
    <n v="2"/>
    <s v="Male"/>
    <n v="90"/>
    <n v="3"/>
    <n v="2"/>
    <x v="3"/>
    <n v="4"/>
    <s v="Divorced"/>
    <n v="5762"/>
    <n v="24442"/>
    <n v="2"/>
    <x v="1"/>
    <n v="14"/>
    <n v="3"/>
    <n v="3"/>
    <n v="1"/>
    <n v="15"/>
    <n v="6"/>
    <n v="3"/>
    <n v="7"/>
    <n v="7"/>
    <n v="1"/>
    <n v="7"/>
    <s v="30-39"/>
  </r>
  <r>
    <n v="38"/>
    <x v="1"/>
    <s v="Non-Travel"/>
    <n v="1336"/>
    <x v="2"/>
    <n v="2"/>
    <n v="3"/>
    <s v="Human Resources"/>
    <n v="1805"/>
    <n v="1"/>
    <s v="Male"/>
    <n v="100"/>
    <n v="3"/>
    <n v="1"/>
    <x v="8"/>
    <n v="2"/>
    <s v="Divorced"/>
    <n v="2592"/>
    <n v="7129"/>
    <n v="5"/>
    <x v="1"/>
    <n v="13"/>
    <n v="3"/>
    <n v="4"/>
    <n v="3"/>
    <n v="13"/>
    <n v="3"/>
    <n v="3"/>
    <n v="11"/>
    <n v="10"/>
    <n v="3"/>
    <n v="8"/>
    <s v="30-39"/>
  </r>
  <r>
    <n v="34"/>
    <x v="0"/>
    <s v="Travel_Frequently"/>
    <n v="234"/>
    <x v="1"/>
    <n v="9"/>
    <n v="4"/>
    <s v="Life Sciences"/>
    <n v="1807"/>
    <n v="4"/>
    <s v="Male"/>
    <n v="93"/>
    <n v="3"/>
    <n v="2"/>
    <x v="2"/>
    <n v="1"/>
    <s v="Married"/>
    <n v="5346"/>
    <n v="6208"/>
    <n v="4"/>
    <x v="1"/>
    <n v="17"/>
    <n v="3"/>
    <n v="3"/>
    <n v="1"/>
    <n v="11"/>
    <n v="3"/>
    <n v="2"/>
    <n v="7"/>
    <n v="1"/>
    <n v="0"/>
    <n v="7"/>
    <s v="30-39"/>
  </r>
  <r>
    <n v="37"/>
    <x v="0"/>
    <s v="Travel_Rarely"/>
    <n v="370"/>
    <x v="1"/>
    <n v="10"/>
    <n v="4"/>
    <s v="Medical"/>
    <n v="1809"/>
    <n v="4"/>
    <s v="Male"/>
    <n v="58"/>
    <n v="3"/>
    <n v="2"/>
    <x v="3"/>
    <n v="1"/>
    <s v="Single"/>
    <n v="4213"/>
    <n v="4992"/>
    <n v="1"/>
    <x v="1"/>
    <n v="15"/>
    <n v="3"/>
    <n v="2"/>
    <n v="0"/>
    <n v="10"/>
    <n v="4"/>
    <n v="1"/>
    <n v="10"/>
    <n v="3"/>
    <n v="0"/>
    <n v="8"/>
    <s v="30-39"/>
  </r>
  <r>
    <n v="39"/>
    <x v="1"/>
    <s v="Travel_Frequently"/>
    <n v="766"/>
    <x v="0"/>
    <n v="20"/>
    <n v="3"/>
    <s v="Life Sciences"/>
    <n v="1812"/>
    <n v="3"/>
    <s v="Male"/>
    <n v="83"/>
    <n v="3"/>
    <n v="2"/>
    <x v="0"/>
    <n v="4"/>
    <s v="Divorced"/>
    <n v="4127"/>
    <n v="19188"/>
    <n v="2"/>
    <x v="1"/>
    <n v="18"/>
    <n v="3"/>
    <n v="4"/>
    <n v="1"/>
    <n v="7"/>
    <n v="6"/>
    <n v="3"/>
    <n v="2"/>
    <n v="1"/>
    <n v="2"/>
    <n v="2"/>
    <s v="30-39"/>
  </r>
  <r>
    <n v="43"/>
    <x v="1"/>
    <s v="Non-Travel"/>
    <n v="343"/>
    <x v="1"/>
    <n v="9"/>
    <n v="3"/>
    <s v="Life Sciences"/>
    <n v="1813"/>
    <n v="1"/>
    <s v="Male"/>
    <n v="52"/>
    <n v="3"/>
    <n v="1"/>
    <x v="1"/>
    <n v="3"/>
    <s v="Single"/>
    <n v="2438"/>
    <n v="24978"/>
    <n v="4"/>
    <x v="1"/>
    <n v="13"/>
    <n v="3"/>
    <n v="3"/>
    <n v="0"/>
    <n v="7"/>
    <n v="2"/>
    <n v="2"/>
    <n v="3"/>
    <n v="2"/>
    <n v="1"/>
    <n v="2"/>
    <s v="40-49"/>
  </r>
  <r>
    <n v="41"/>
    <x v="1"/>
    <s v="Travel_Rarely"/>
    <n v="447"/>
    <x v="1"/>
    <n v="5"/>
    <n v="3"/>
    <s v="Life Sciences"/>
    <n v="1814"/>
    <n v="2"/>
    <s v="Male"/>
    <n v="85"/>
    <n v="4"/>
    <n v="2"/>
    <x v="4"/>
    <n v="2"/>
    <s v="Single"/>
    <n v="6870"/>
    <n v="15530"/>
    <n v="3"/>
    <x v="1"/>
    <n v="12"/>
    <n v="3"/>
    <n v="1"/>
    <n v="0"/>
    <n v="11"/>
    <n v="3"/>
    <n v="1"/>
    <n v="3"/>
    <n v="2"/>
    <n v="1"/>
    <n v="2"/>
    <s v="40-49"/>
  </r>
  <r>
    <n v="41"/>
    <x v="1"/>
    <s v="Travel_Rarely"/>
    <n v="796"/>
    <x v="0"/>
    <n v="4"/>
    <n v="1"/>
    <s v="Marketing"/>
    <n v="1815"/>
    <n v="3"/>
    <s v="Female"/>
    <n v="81"/>
    <n v="3"/>
    <n v="3"/>
    <x v="0"/>
    <n v="3"/>
    <s v="Divorced"/>
    <n v="10447"/>
    <n v="26458"/>
    <n v="0"/>
    <x v="0"/>
    <n v="13"/>
    <n v="3"/>
    <n v="4"/>
    <n v="1"/>
    <n v="23"/>
    <n v="3"/>
    <n v="4"/>
    <n v="22"/>
    <n v="14"/>
    <n v="13"/>
    <n v="5"/>
    <s v="40-49"/>
  </r>
  <r>
    <n v="30"/>
    <x v="1"/>
    <s v="Travel_Rarely"/>
    <n v="1092"/>
    <x v="1"/>
    <n v="10"/>
    <n v="3"/>
    <s v="Medical"/>
    <n v="1816"/>
    <n v="1"/>
    <s v="Female"/>
    <n v="64"/>
    <n v="3"/>
    <n v="3"/>
    <x v="3"/>
    <n v="3"/>
    <s v="Single"/>
    <n v="9667"/>
    <n v="2739"/>
    <n v="9"/>
    <x v="1"/>
    <n v="14"/>
    <n v="3"/>
    <n v="2"/>
    <n v="0"/>
    <n v="9"/>
    <n v="3"/>
    <n v="3"/>
    <n v="7"/>
    <n v="7"/>
    <n v="0"/>
    <n v="2"/>
    <s v="30-39"/>
  </r>
  <r>
    <n v="26"/>
    <x v="0"/>
    <s v="Travel_Rarely"/>
    <n v="920"/>
    <x v="2"/>
    <n v="20"/>
    <n v="2"/>
    <s v="Medical"/>
    <n v="1818"/>
    <n v="4"/>
    <s v="Female"/>
    <n v="69"/>
    <n v="3"/>
    <n v="1"/>
    <x v="8"/>
    <n v="2"/>
    <s v="Married"/>
    <n v="2148"/>
    <n v="6889"/>
    <n v="0"/>
    <x v="0"/>
    <n v="11"/>
    <n v="3"/>
    <n v="3"/>
    <n v="0"/>
    <n v="6"/>
    <n v="3"/>
    <n v="3"/>
    <n v="5"/>
    <n v="1"/>
    <n v="1"/>
    <n v="4"/>
    <s v="Below 30"/>
  </r>
  <r>
    <n v="46"/>
    <x v="0"/>
    <s v="Travel_Rarely"/>
    <n v="261"/>
    <x v="1"/>
    <n v="21"/>
    <n v="2"/>
    <s v="Medical"/>
    <n v="1821"/>
    <n v="4"/>
    <s v="Female"/>
    <n v="66"/>
    <n v="3"/>
    <n v="2"/>
    <x v="4"/>
    <n v="2"/>
    <s v="Married"/>
    <n v="8926"/>
    <n v="10842"/>
    <n v="4"/>
    <x v="1"/>
    <n v="22"/>
    <n v="4"/>
    <n v="4"/>
    <n v="1"/>
    <n v="13"/>
    <n v="2"/>
    <n v="4"/>
    <n v="9"/>
    <n v="7"/>
    <n v="3"/>
    <n v="7"/>
    <s v="40-49"/>
  </r>
  <r>
    <n v="40"/>
    <x v="1"/>
    <s v="Travel_Rarely"/>
    <n v="1194"/>
    <x v="1"/>
    <n v="1"/>
    <n v="3"/>
    <s v="Life Sciences"/>
    <n v="1822"/>
    <n v="3"/>
    <s v="Female"/>
    <n v="52"/>
    <n v="3"/>
    <n v="2"/>
    <x v="4"/>
    <n v="4"/>
    <s v="Divorced"/>
    <n v="6513"/>
    <n v="9060"/>
    <n v="4"/>
    <x v="1"/>
    <n v="17"/>
    <n v="3"/>
    <n v="4"/>
    <n v="1"/>
    <n v="12"/>
    <n v="3"/>
    <n v="3"/>
    <n v="5"/>
    <n v="3"/>
    <n v="0"/>
    <n v="3"/>
    <s v="40-49"/>
  </r>
  <r>
    <n v="34"/>
    <x v="1"/>
    <s v="Travel_Rarely"/>
    <n v="810"/>
    <x v="0"/>
    <n v="8"/>
    <n v="2"/>
    <s v="Technical Degree"/>
    <n v="1823"/>
    <n v="2"/>
    <s v="Male"/>
    <n v="92"/>
    <n v="4"/>
    <n v="2"/>
    <x v="0"/>
    <n v="3"/>
    <s v="Married"/>
    <n v="6799"/>
    <n v="22128"/>
    <n v="1"/>
    <x v="1"/>
    <n v="21"/>
    <n v="4"/>
    <n v="3"/>
    <n v="2"/>
    <n v="10"/>
    <n v="5"/>
    <n v="3"/>
    <n v="10"/>
    <n v="8"/>
    <n v="4"/>
    <n v="8"/>
    <s v="30-39"/>
  </r>
  <r>
    <n v="58"/>
    <x v="1"/>
    <s v="Non-Travel"/>
    <n v="350"/>
    <x v="0"/>
    <n v="2"/>
    <n v="3"/>
    <s v="Medical"/>
    <n v="1824"/>
    <n v="2"/>
    <s v="Male"/>
    <n v="52"/>
    <n v="3"/>
    <n v="4"/>
    <x v="5"/>
    <n v="2"/>
    <s v="Divorced"/>
    <n v="16291"/>
    <n v="22577"/>
    <n v="4"/>
    <x v="1"/>
    <n v="22"/>
    <n v="4"/>
    <n v="4"/>
    <n v="1"/>
    <n v="37"/>
    <n v="0"/>
    <n v="2"/>
    <n v="16"/>
    <n v="9"/>
    <n v="14"/>
    <n v="14"/>
    <s v="50+"/>
  </r>
  <r>
    <n v="35"/>
    <x v="1"/>
    <s v="Travel_Rarely"/>
    <n v="185"/>
    <x v="1"/>
    <n v="23"/>
    <n v="4"/>
    <s v="Medical"/>
    <n v="1826"/>
    <n v="2"/>
    <s v="Male"/>
    <n v="91"/>
    <n v="1"/>
    <n v="1"/>
    <x v="2"/>
    <n v="3"/>
    <s v="Married"/>
    <n v="2705"/>
    <n v="9696"/>
    <n v="0"/>
    <x v="1"/>
    <n v="16"/>
    <n v="3"/>
    <n v="2"/>
    <n v="1"/>
    <n v="6"/>
    <n v="2"/>
    <n v="4"/>
    <n v="5"/>
    <n v="4"/>
    <n v="0"/>
    <n v="3"/>
    <s v="30-39"/>
  </r>
  <r>
    <n v="47"/>
    <x v="1"/>
    <s v="Travel_Rarely"/>
    <n v="1001"/>
    <x v="1"/>
    <n v="4"/>
    <n v="3"/>
    <s v="Life Sciences"/>
    <n v="1827"/>
    <n v="3"/>
    <s v="Female"/>
    <n v="92"/>
    <n v="2"/>
    <n v="3"/>
    <x v="3"/>
    <n v="2"/>
    <s v="Divorced"/>
    <n v="10333"/>
    <n v="19271"/>
    <n v="8"/>
    <x v="0"/>
    <n v="12"/>
    <n v="3"/>
    <n v="3"/>
    <n v="1"/>
    <n v="28"/>
    <n v="4"/>
    <n v="3"/>
    <n v="22"/>
    <n v="11"/>
    <n v="14"/>
    <n v="10"/>
    <s v="40-49"/>
  </r>
  <r>
    <n v="40"/>
    <x v="1"/>
    <s v="Travel_Rarely"/>
    <n v="750"/>
    <x v="1"/>
    <n v="12"/>
    <n v="3"/>
    <s v="Life Sciences"/>
    <n v="1829"/>
    <n v="2"/>
    <s v="Female"/>
    <n v="47"/>
    <n v="3"/>
    <n v="2"/>
    <x v="4"/>
    <n v="1"/>
    <s v="Divorced"/>
    <n v="4448"/>
    <n v="10748"/>
    <n v="2"/>
    <x v="1"/>
    <n v="12"/>
    <n v="3"/>
    <n v="2"/>
    <n v="1"/>
    <n v="15"/>
    <n v="3"/>
    <n v="3"/>
    <n v="7"/>
    <n v="4"/>
    <n v="7"/>
    <n v="7"/>
    <s v="40-49"/>
  </r>
  <r>
    <n v="54"/>
    <x v="1"/>
    <s v="Travel_Rarely"/>
    <n v="431"/>
    <x v="1"/>
    <n v="7"/>
    <n v="4"/>
    <s v="Medical"/>
    <n v="1830"/>
    <n v="4"/>
    <s v="Female"/>
    <n v="68"/>
    <n v="3"/>
    <n v="2"/>
    <x v="1"/>
    <n v="4"/>
    <s v="Married"/>
    <n v="6854"/>
    <n v="15696"/>
    <n v="4"/>
    <x v="1"/>
    <n v="15"/>
    <n v="3"/>
    <n v="2"/>
    <n v="1"/>
    <n v="14"/>
    <n v="2"/>
    <n v="2"/>
    <n v="7"/>
    <n v="1"/>
    <n v="1"/>
    <n v="7"/>
    <s v="50+"/>
  </r>
  <r>
    <n v="31"/>
    <x v="1"/>
    <s v="Travel_Frequently"/>
    <n v="1125"/>
    <x v="0"/>
    <n v="7"/>
    <n v="4"/>
    <s v="Marketing"/>
    <n v="1833"/>
    <n v="1"/>
    <s v="Female"/>
    <n v="68"/>
    <n v="3"/>
    <n v="3"/>
    <x v="0"/>
    <n v="1"/>
    <s v="Married"/>
    <n v="9637"/>
    <n v="8277"/>
    <n v="2"/>
    <x v="1"/>
    <n v="14"/>
    <n v="3"/>
    <n v="4"/>
    <n v="2"/>
    <n v="9"/>
    <n v="3"/>
    <n v="3"/>
    <n v="3"/>
    <n v="2"/>
    <n v="2"/>
    <n v="2"/>
    <s v="30-39"/>
  </r>
  <r>
    <n v="28"/>
    <x v="1"/>
    <s v="Travel_Rarely"/>
    <n v="1217"/>
    <x v="1"/>
    <n v="1"/>
    <n v="3"/>
    <s v="Medical"/>
    <n v="1834"/>
    <n v="3"/>
    <s v="Female"/>
    <n v="67"/>
    <n v="3"/>
    <n v="1"/>
    <x v="1"/>
    <n v="1"/>
    <s v="Married"/>
    <n v="3591"/>
    <n v="12719"/>
    <n v="1"/>
    <x v="1"/>
    <n v="25"/>
    <n v="4"/>
    <n v="3"/>
    <n v="1"/>
    <n v="3"/>
    <n v="3"/>
    <n v="3"/>
    <n v="3"/>
    <n v="2"/>
    <n v="1"/>
    <n v="2"/>
    <s v="Below 30"/>
  </r>
  <r>
    <n v="38"/>
    <x v="1"/>
    <s v="Travel_Rarely"/>
    <n v="723"/>
    <x v="0"/>
    <n v="2"/>
    <n v="4"/>
    <s v="Marketing"/>
    <n v="1835"/>
    <n v="2"/>
    <s v="Female"/>
    <n v="77"/>
    <n v="1"/>
    <n v="2"/>
    <x v="6"/>
    <n v="4"/>
    <s v="Married"/>
    <n v="5405"/>
    <n v="4244"/>
    <n v="2"/>
    <x v="0"/>
    <n v="20"/>
    <n v="4"/>
    <n v="1"/>
    <n v="2"/>
    <n v="20"/>
    <n v="4"/>
    <n v="2"/>
    <n v="4"/>
    <n v="2"/>
    <n v="0"/>
    <n v="3"/>
    <s v="30-39"/>
  </r>
  <r>
    <n v="26"/>
    <x v="1"/>
    <s v="Travel_Rarely"/>
    <n v="572"/>
    <x v="0"/>
    <n v="10"/>
    <n v="3"/>
    <s v="Medical"/>
    <n v="1836"/>
    <n v="3"/>
    <s v="Male"/>
    <n v="46"/>
    <n v="3"/>
    <n v="2"/>
    <x v="0"/>
    <n v="4"/>
    <s v="Single"/>
    <n v="4684"/>
    <n v="9125"/>
    <n v="1"/>
    <x v="1"/>
    <n v="13"/>
    <n v="3"/>
    <n v="1"/>
    <n v="0"/>
    <n v="5"/>
    <n v="4"/>
    <n v="3"/>
    <n v="5"/>
    <n v="3"/>
    <n v="1"/>
    <n v="2"/>
    <s v="Below 30"/>
  </r>
  <r>
    <n v="58"/>
    <x v="1"/>
    <s v="Travel_Frequently"/>
    <n v="1216"/>
    <x v="1"/>
    <n v="15"/>
    <n v="4"/>
    <s v="Life Sciences"/>
    <n v="1837"/>
    <n v="1"/>
    <s v="Male"/>
    <n v="87"/>
    <n v="3"/>
    <n v="4"/>
    <x v="7"/>
    <n v="3"/>
    <s v="Married"/>
    <n v="15787"/>
    <n v="21624"/>
    <n v="2"/>
    <x v="0"/>
    <n v="14"/>
    <n v="3"/>
    <n v="2"/>
    <n v="0"/>
    <n v="23"/>
    <n v="3"/>
    <n v="3"/>
    <n v="2"/>
    <n v="2"/>
    <n v="2"/>
    <n v="2"/>
    <s v="50+"/>
  </r>
  <r>
    <n v="18"/>
    <x v="1"/>
    <s v="Non-Travel"/>
    <n v="1431"/>
    <x v="1"/>
    <n v="14"/>
    <n v="3"/>
    <s v="Medical"/>
    <n v="1839"/>
    <n v="2"/>
    <s v="Female"/>
    <n v="33"/>
    <n v="3"/>
    <n v="1"/>
    <x v="1"/>
    <n v="3"/>
    <s v="Single"/>
    <n v="1514"/>
    <n v="8018"/>
    <n v="1"/>
    <x v="1"/>
    <n v="16"/>
    <n v="3"/>
    <n v="3"/>
    <n v="0"/>
    <n v="0"/>
    <n v="4"/>
    <n v="1"/>
    <n v="0"/>
    <n v="0"/>
    <n v="0"/>
    <n v="0"/>
    <s v="Below 30"/>
  </r>
  <r>
    <n v="31"/>
    <x v="0"/>
    <s v="Travel_Rarely"/>
    <n v="359"/>
    <x v="2"/>
    <n v="18"/>
    <n v="5"/>
    <s v="Human Resources"/>
    <n v="1842"/>
    <n v="4"/>
    <s v="Male"/>
    <n v="89"/>
    <n v="4"/>
    <n v="1"/>
    <x v="8"/>
    <n v="1"/>
    <s v="Married"/>
    <n v="2956"/>
    <n v="21495"/>
    <n v="0"/>
    <x v="1"/>
    <n v="17"/>
    <n v="3"/>
    <n v="3"/>
    <n v="0"/>
    <n v="2"/>
    <n v="4"/>
    <n v="3"/>
    <n v="1"/>
    <n v="0"/>
    <n v="0"/>
    <n v="0"/>
    <s v="30-39"/>
  </r>
  <r>
    <n v="29"/>
    <x v="0"/>
    <s v="Travel_Rarely"/>
    <n v="350"/>
    <x v="2"/>
    <n v="13"/>
    <n v="3"/>
    <s v="Human Resources"/>
    <n v="1844"/>
    <n v="1"/>
    <s v="Male"/>
    <n v="56"/>
    <n v="2"/>
    <n v="1"/>
    <x v="8"/>
    <n v="1"/>
    <s v="Divorced"/>
    <n v="2335"/>
    <n v="3157"/>
    <n v="4"/>
    <x v="0"/>
    <n v="15"/>
    <n v="3"/>
    <n v="4"/>
    <n v="3"/>
    <n v="4"/>
    <n v="3"/>
    <n v="3"/>
    <n v="2"/>
    <n v="2"/>
    <n v="2"/>
    <n v="0"/>
    <s v="Below 30"/>
  </r>
  <r>
    <n v="45"/>
    <x v="1"/>
    <s v="Non-Travel"/>
    <n v="589"/>
    <x v="0"/>
    <n v="2"/>
    <n v="4"/>
    <s v="Life Sciences"/>
    <n v="1845"/>
    <n v="3"/>
    <s v="Female"/>
    <n v="67"/>
    <n v="3"/>
    <n v="2"/>
    <x v="0"/>
    <n v="3"/>
    <s v="Married"/>
    <n v="5154"/>
    <n v="19665"/>
    <n v="4"/>
    <x v="1"/>
    <n v="22"/>
    <n v="4"/>
    <n v="2"/>
    <n v="2"/>
    <n v="10"/>
    <n v="3"/>
    <n v="4"/>
    <n v="8"/>
    <n v="7"/>
    <n v="5"/>
    <n v="7"/>
    <s v="40-49"/>
  </r>
  <r>
    <n v="36"/>
    <x v="1"/>
    <s v="Travel_Rarely"/>
    <n v="430"/>
    <x v="1"/>
    <n v="2"/>
    <n v="4"/>
    <s v="Other"/>
    <n v="1847"/>
    <n v="4"/>
    <s v="Female"/>
    <n v="73"/>
    <n v="3"/>
    <n v="2"/>
    <x v="1"/>
    <n v="2"/>
    <s v="Married"/>
    <n v="6962"/>
    <n v="19573"/>
    <n v="4"/>
    <x v="0"/>
    <n v="22"/>
    <n v="4"/>
    <n v="4"/>
    <n v="1"/>
    <n v="15"/>
    <n v="2"/>
    <n v="3"/>
    <n v="1"/>
    <n v="0"/>
    <n v="0"/>
    <n v="0"/>
    <s v="30-39"/>
  </r>
  <r>
    <n v="43"/>
    <x v="1"/>
    <s v="Travel_Frequently"/>
    <n v="1422"/>
    <x v="0"/>
    <n v="2"/>
    <n v="4"/>
    <s v="Life Sciences"/>
    <n v="1849"/>
    <n v="1"/>
    <s v="Male"/>
    <n v="92"/>
    <n v="3"/>
    <n v="2"/>
    <x v="0"/>
    <n v="4"/>
    <s v="Married"/>
    <n v="5675"/>
    <n v="19246"/>
    <n v="1"/>
    <x v="1"/>
    <n v="20"/>
    <n v="4"/>
    <n v="3"/>
    <n v="1"/>
    <n v="7"/>
    <n v="5"/>
    <n v="3"/>
    <n v="7"/>
    <n v="7"/>
    <n v="7"/>
    <n v="7"/>
    <s v="40-49"/>
  </r>
  <r>
    <n v="27"/>
    <x v="1"/>
    <s v="Travel_Frequently"/>
    <n v="1297"/>
    <x v="1"/>
    <n v="5"/>
    <n v="2"/>
    <s v="Life Sciences"/>
    <n v="1850"/>
    <n v="4"/>
    <s v="Female"/>
    <n v="53"/>
    <n v="3"/>
    <n v="1"/>
    <x v="2"/>
    <n v="4"/>
    <s v="Single"/>
    <n v="2379"/>
    <n v="19826"/>
    <n v="0"/>
    <x v="0"/>
    <n v="14"/>
    <n v="3"/>
    <n v="3"/>
    <n v="0"/>
    <n v="6"/>
    <n v="3"/>
    <n v="2"/>
    <n v="5"/>
    <n v="4"/>
    <n v="0"/>
    <n v="2"/>
    <s v="Below 30"/>
  </r>
  <r>
    <n v="29"/>
    <x v="1"/>
    <s v="Travel_Frequently"/>
    <n v="574"/>
    <x v="1"/>
    <n v="20"/>
    <n v="1"/>
    <s v="Medical"/>
    <n v="1852"/>
    <n v="4"/>
    <s v="Male"/>
    <n v="40"/>
    <n v="3"/>
    <n v="1"/>
    <x v="2"/>
    <n v="4"/>
    <s v="Married"/>
    <n v="3812"/>
    <n v="7003"/>
    <n v="1"/>
    <x v="1"/>
    <n v="13"/>
    <n v="3"/>
    <n v="2"/>
    <n v="0"/>
    <n v="11"/>
    <n v="3"/>
    <n v="4"/>
    <n v="11"/>
    <n v="8"/>
    <n v="3"/>
    <n v="10"/>
    <s v="Below 30"/>
  </r>
  <r>
    <n v="32"/>
    <x v="1"/>
    <s v="Travel_Frequently"/>
    <n v="1318"/>
    <x v="0"/>
    <n v="10"/>
    <n v="4"/>
    <s v="Marketing"/>
    <n v="1853"/>
    <n v="4"/>
    <s v="Male"/>
    <n v="79"/>
    <n v="3"/>
    <n v="2"/>
    <x v="0"/>
    <n v="4"/>
    <s v="Single"/>
    <n v="4648"/>
    <n v="26075"/>
    <n v="8"/>
    <x v="1"/>
    <n v="13"/>
    <n v="3"/>
    <n v="3"/>
    <n v="0"/>
    <n v="4"/>
    <n v="2"/>
    <n v="4"/>
    <n v="0"/>
    <n v="0"/>
    <n v="0"/>
    <n v="0"/>
    <s v="30-39"/>
  </r>
  <r>
    <n v="42"/>
    <x v="1"/>
    <s v="Non-Travel"/>
    <n v="355"/>
    <x v="1"/>
    <n v="10"/>
    <n v="4"/>
    <s v="Technical Degree"/>
    <n v="1854"/>
    <n v="3"/>
    <s v="Male"/>
    <n v="38"/>
    <n v="3"/>
    <n v="1"/>
    <x v="1"/>
    <n v="3"/>
    <s v="Married"/>
    <n v="2936"/>
    <n v="6161"/>
    <n v="3"/>
    <x v="1"/>
    <n v="22"/>
    <n v="4"/>
    <n v="2"/>
    <n v="2"/>
    <n v="10"/>
    <n v="1"/>
    <n v="2"/>
    <n v="6"/>
    <n v="3"/>
    <n v="3"/>
    <n v="3"/>
    <s v="40-49"/>
  </r>
  <r>
    <n v="47"/>
    <x v="1"/>
    <s v="Travel_Rarely"/>
    <n v="207"/>
    <x v="1"/>
    <n v="9"/>
    <n v="4"/>
    <s v="Life Sciences"/>
    <n v="1856"/>
    <n v="2"/>
    <s v="Female"/>
    <n v="64"/>
    <n v="3"/>
    <n v="1"/>
    <x v="2"/>
    <n v="3"/>
    <s v="Single"/>
    <n v="2105"/>
    <n v="5411"/>
    <n v="4"/>
    <x v="1"/>
    <n v="12"/>
    <n v="3"/>
    <n v="3"/>
    <n v="0"/>
    <n v="7"/>
    <n v="2"/>
    <n v="3"/>
    <n v="2"/>
    <n v="2"/>
    <n v="2"/>
    <n v="0"/>
    <s v="40-49"/>
  </r>
  <r>
    <n v="46"/>
    <x v="1"/>
    <s v="Travel_Rarely"/>
    <n v="706"/>
    <x v="1"/>
    <n v="2"/>
    <n v="2"/>
    <s v="Life Sciences"/>
    <n v="1857"/>
    <n v="4"/>
    <s v="Male"/>
    <n v="82"/>
    <n v="3"/>
    <n v="3"/>
    <x v="3"/>
    <n v="4"/>
    <s v="Divorced"/>
    <n v="8578"/>
    <n v="19989"/>
    <n v="3"/>
    <x v="1"/>
    <n v="14"/>
    <n v="3"/>
    <n v="3"/>
    <n v="1"/>
    <n v="12"/>
    <n v="4"/>
    <n v="2"/>
    <n v="9"/>
    <n v="8"/>
    <n v="4"/>
    <n v="7"/>
    <s v="40-49"/>
  </r>
  <r>
    <n v="28"/>
    <x v="1"/>
    <s v="Non-Travel"/>
    <n v="280"/>
    <x v="2"/>
    <n v="1"/>
    <n v="2"/>
    <s v="Life Sciences"/>
    <n v="1858"/>
    <n v="3"/>
    <s v="Male"/>
    <n v="43"/>
    <n v="3"/>
    <n v="1"/>
    <x v="8"/>
    <n v="4"/>
    <s v="Divorced"/>
    <n v="2706"/>
    <n v="10494"/>
    <n v="1"/>
    <x v="1"/>
    <n v="15"/>
    <n v="3"/>
    <n v="2"/>
    <n v="1"/>
    <n v="3"/>
    <n v="2"/>
    <n v="3"/>
    <n v="3"/>
    <n v="2"/>
    <n v="2"/>
    <n v="2"/>
    <s v="Below 30"/>
  </r>
  <r>
    <n v="29"/>
    <x v="1"/>
    <s v="Travel_Rarely"/>
    <n v="726"/>
    <x v="1"/>
    <n v="29"/>
    <n v="1"/>
    <s v="Life Sciences"/>
    <n v="1859"/>
    <n v="4"/>
    <s v="Male"/>
    <n v="93"/>
    <n v="1"/>
    <n v="2"/>
    <x v="4"/>
    <n v="3"/>
    <s v="Divorced"/>
    <n v="6384"/>
    <n v="21143"/>
    <n v="8"/>
    <x v="1"/>
    <n v="17"/>
    <n v="3"/>
    <n v="4"/>
    <n v="2"/>
    <n v="11"/>
    <n v="3"/>
    <n v="3"/>
    <n v="7"/>
    <n v="0"/>
    <n v="1"/>
    <n v="6"/>
    <s v="Below 30"/>
  </r>
  <r>
    <n v="42"/>
    <x v="1"/>
    <s v="Travel_Rarely"/>
    <n v="1142"/>
    <x v="1"/>
    <n v="8"/>
    <n v="3"/>
    <s v="Life Sciences"/>
    <n v="1860"/>
    <n v="4"/>
    <s v="Male"/>
    <n v="81"/>
    <n v="3"/>
    <n v="1"/>
    <x v="2"/>
    <n v="3"/>
    <s v="Single"/>
    <n v="3968"/>
    <n v="13624"/>
    <n v="4"/>
    <x v="1"/>
    <n v="13"/>
    <n v="3"/>
    <n v="4"/>
    <n v="0"/>
    <n v="8"/>
    <n v="3"/>
    <n v="3"/>
    <n v="0"/>
    <n v="0"/>
    <n v="0"/>
    <n v="0"/>
    <s v="40-49"/>
  </r>
  <r>
    <n v="32"/>
    <x v="0"/>
    <s v="Travel_Rarely"/>
    <n v="414"/>
    <x v="0"/>
    <n v="2"/>
    <n v="4"/>
    <s v="Marketing"/>
    <n v="1862"/>
    <n v="3"/>
    <s v="Male"/>
    <n v="82"/>
    <n v="2"/>
    <n v="2"/>
    <x v="0"/>
    <n v="2"/>
    <s v="Single"/>
    <n v="9907"/>
    <n v="26186"/>
    <n v="7"/>
    <x v="0"/>
    <n v="12"/>
    <n v="3"/>
    <n v="3"/>
    <n v="0"/>
    <n v="7"/>
    <n v="3"/>
    <n v="2"/>
    <n v="2"/>
    <n v="2"/>
    <n v="2"/>
    <n v="2"/>
    <s v="30-39"/>
  </r>
  <r>
    <n v="46"/>
    <x v="1"/>
    <s v="Travel_Rarely"/>
    <n v="1319"/>
    <x v="0"/>
    <n v="3"/>
    <n v="3"/>
    <s v="Technical Degree"/>
    <n v="1863"/>
    <n v="1"/>
    <s v="Female"/>
    <n v="45"/>
    <n v="4"/>
    <n v="4"/>
    <x v="0"/>
    <n v="1"/>
    <s v="Divorced"/>
    <n v="13225"/>
    <n v="7739"/>
    <n v="2"/>
    <x v="1"/>
    <n v="12"/>
    <n v="3"/>
    <n v="4"/>
    <n v="1"/>
    <n v="25"/>
    <n v="5"/>
    <n v="3"/>
    <n v="19"/>
    <n v="17"/>
    <n v="2"/>
    <n v="8"/>
    <s v="40-49"/>
  </r>
  <r>
    <n v="27"/>
    <x v="1"/>
    <s v="Travel_Rarely"/>
    <n v="728"/>
    <x v="0"/>
    <n v="23"/>
    <n v="1"/>
    <s v="Medical"/>
    <n v="1864"/>
    <n v="2"/>
    <s v="Female"/>
    <n v="36"/>
    <n v="2"/>
    <n v="2"/>
    <x v="6"/>
    <n v="3"/>
    <s v="Married"/>
    <n v="3540"/>
    <n v="7018"/>
    <n v="1"/>
    <x v="1"/>
    <n v="21"/>
    <n v="4"/>
    <n v="4"/>
    <n v="1"/>
    <n v="9"/>
    <n v="5"/>
    <n v="3"/>
    <n v="9"/>
    <n v="8"/>
    <n v="5"/>
    <n v="8"/>
    <s v="Below 30"/>
  </r>
  <r>
    <n v="29"/>
    <x v="1"/>
    <s v="Travel_Rarely"/>
    <n v="352"/>
    <x v="2"/>
    <n v="6"/>
    <n v="1"/>
    <s v="Medical"/>
    <n v="1865"/>
    <n v="4"/>
    <s v="Male"/>
    <n v="87"/>
    <n v="2"/>
    <n v="1"/>
    <x v="8"/>
    <n v="2"/>
    <s v="Married"/>
    <n v="2804"/>
    <n v="15434"/>
    <n v="1"/>
    <x v="1"/>
    <n v="11"/>
    <n v="3"/>
    <n v="4"/>
    <n v="0"/>
    <n v="1"/>
    <n v="3"/>
    <n v="3"/>
    <n v="1"/>
    <n v="0"/>
    <n v="0"/>
    <n v="0"/>
    <s v="Below 30"/>
  </r>
  <r>
    <n v="43"/>
    <x v="1"/>
    <s v="Travel_Rarely"/>
    <n v="823"/>
    <x v="1"/>
    <n v="6"/>
    <n v="3"/>
    <s v="Medical"/>
    <n v="1866"/>
    <n v="1"/>
    <s v="Female"/>
    <n v="81"/>
    <n v="2"/>
    <n v="5"/>
    <x v="5"/>
    <n v="3"/>
    <s v="Married"/>
    <n v="19392"/>
    <n v="22539"/>
    <n v="7"/>
    <x v="1"/>
    <n v="13"/>
    <n v="3"/>
    <n v="4"/>
    <n v="0"/>
    <n v="21"/>
    <n v="2"/>
    <n v="3"/>
    <n v="16"/>
    <n v="12"/>
    <n v="6"/>
    <n v="14"/>
    <s v="40-49"/>
  </r>
  <r>
    <n v="48"/>
    <x v="1"/>
    <s v="Travel_Rarely"/>
    <n v="1224"/>
    <x v="1"/>
    <n v="10"/>
    <n v="3"/>
    <s v="Life Sciences"/>
    <n v="1867"/>
    <n v="4"/>
    <s v="Male"/>
    <n v="91"/>
    <n v="2"/>
    <n v="5"/>
    <x v="7"/>
    <n v="2"/>
    <s v="Married"/>
    <n v="19665"/>
    <n v="13583"/>
    <n v="4"/>
    <x v="1"/>
    <n v="12"/>
    <n v="3"/>
    <n v="4"/>
    <n v="0"/>
    <n v="29"/>
    <n v="3"/>
    <n v="3"/>
    <n v="22"/>
    <n v="10"/>
    <n v="12"/>
    <n v="9"/>
    <s v="40-49"/>
  </r>
  <r>
    <n v="29"/>
    <x v="0"/>
    <s v="Travel_Frequently"/>
    <n v="459"/>
    <x v="1"/>
    <n v="24"/>
    <n v="2"/>
    <s v="Life Sciences"/>
    <n v="1868"/>
    <n v="4"/>
    <s v="Male"/>
    <n v="73"/>
    <n v="2"/>
    <n v="1"/>
    <x v="1"/>
    <n v="4"/>
    <s v="Single"/>
    <n v="2439"/>
    <n v="14753"/>
    <n v="1"/>
    <x v="0"/>
    <n v="24"/>
    <n v="4"/>
    <n v="2"/>
    <n v="0"/>
    <n v="1"/>
    <n v="3"/>
    <n v="2"/>
    <n v="1"/>
    <n v="0"/>
    <n v="1"/>
    <n v="0"/>
    <s v="Below 30"/>
  </r>
  <r>
    <n v="46"/>
    <x v="0"/>
    <s v="Travel_Rarely"/>
    <n v="1254"/>
    <x v="0"/>
    <n v="10"/>
    <n v="3"/>
    <s v="Life Sciences"/>
    <n v="1869"/>
    <n v="3"/>
    <s v="Female"/>
    <n v="64"/>
    <n v="3"/>
    <n v="3"/>
    <x v="0"/>
    <n v="2"/>
    <s v="Married"/>
    <n v="7314"/>
    <n v="14011"/>
    <n v="5"/>
    <x v="1"/>
    <n v="21"/>
    <n v="4"/>
    <n v="3"/>
    <n v="3"/>
    <n v="14"/>
    <n v="2"/>
    <n v="3"/>
    <n v="8"/>
    <n v="7"/>
    <n v="0"/>
    <n v="7"/>
    <s v="40-49"/>
  </r>
  <r>
    <n v="27"/>
    <x v="1"/>
    <s v="Travel_Frequently"/>
    <n v="1131"/>
    <x v="1"/>
    <n v="15"/>
    <n v="3"/>
    <s v="Life Sciences"/>
    <n v="1870"/>
    <n v="4"/>
    <s v="Female"/>
    <n v="77"/>
    <n v="2"/>
    <n v="1"/>
    <x v="1"/>
    <n v="1"/>
    <s v="Married"/>
    <n v="4774"/>
    <n v="23844"/>
    <n v="0"/>
    <x v="1"/>
    <n v="19"/>
    <n v="3"/>
    <n v="4"/>
    <n v="1"/>
    <n v="8"/>
    <n v="2"/>
    <n v="2"/>
    <n v="7"/>
    <n v="6"/>
    <n v="7"/>
    <n v="3"/>
    <s v="Below 30"/>
  </r>
  <r>
    <n v="39"/>
    <x v="1"/>
    <s v="Travel_Rarely"/>
    <n v="835"/>
    <x v="1"/>
    <n v="19"/>
    <n v="4"/>
    <s v="Other"/>
    <n v="1871"/>
    <n v="4"/>
    <s v="Male"/>
    <n v="41"/>
    <n v="3"/>
    <n v="2"/>
    <x v="1"/>
    <n v="4"/>
    <s v="Divorced"/>
    <n v="3902"/>
    <n v="5141"/>
    <n v="8"/>
    <x v="1"/>
    <n v="14"/>
    <n v="3"/>
    <n v="2"/>
    <n v="3"/>
    <n v="7"/>
    <n v="2"/>
    <n v="3"/>
    <n v="2"/>
    <n v="2"/>
    <n v="2"/>
    <n v="2"/>
    <s v="30-39"/>
  </r>
  <r>
    <n v="55"/>
    <x v="1"/>
    <s v="Travel_Rarely"/>
    <n v="836"/>
    <x v="1"/>
    <n v="2"/>
    <n v="4"/>
    <s v="Technical Degree"/>
    <n v="1873"/>
    <n v="2"/>
    <s v="Male"/>
    <n v="98"/>
    <n v="2"/>
    <n v="1"/>
    <x v="1"/>
    <n v="4"/>
    <s v="Married"/>
    <n v="2662"/>
    <n v="7975"/>
    <n v="8"/>
    <x v="1"/>
    <n v="20"/>
    <n v="4"/>
    <n v="2"/>
    <n v="1"/>
    <n v="19"/>
    <n v="2"/>
    <n v="4"/>
    <n v="5"/>
    <n v="2"/>
    <n v="0"/>
    <n v="4"/>
    <s v="50+"/>
  </r>
  <r>
    <n v="28"/>
    <x v="1"/>
    <s v="Travel_Rarely"/>
    <n v="1172"/>
    <x v="0"/>
    <n v="3"/>
    <n v="3"/>
    <s v="Medical"/>
    <n v="1875"/>
    <n v="2"/>
    <s v="Female"/>
    <n v="78"/>
    <n v="3"/>
    <n v="1"/>
    <x v="6"/>
    <n v="2"/>
    <s v="Married"/>
    <n v="2856"/>
    <n v="3692"/>
    <n v="1"/>
    <x v="1"/>
    <n v="19"/>
    <n v="3"/>
    <n v="4"/>
    <n v="1"/>
    <n v="1"/>
    <n v="3"/>
    <n v="3"/>
    <n v="1"/>
    <n v="0"/>
    <n v="0"/>
    <n v="0"/>
    <s v="Below 30"/>
  </r>
  <r>
    <n v="30"/>
    <x v="0"/>
    <s v="Travel_Rarely"/>
    <n v="945"/>
    <x v="0"/>
    <n v="9"/>
    <n v="3"/>
    <s v="Medical"/>
    <n v="1876"/>
    <n v="2"/>
    <s v="Male"/>
    <n v="89"/>
    <n v="3"/>
    <n v="1"/>
    <x v="6"/>
    <n v="4"/>
    <s v="Single"/>
    <n v="1081"/>
    <n v="16019"/>
    <n v="1"/>
    <x v="1"/>
    <n v="13"/>
    <n v="3"/>
    <n v="3"/>
    <n v="0"/>
    <n v="1"/>
    <n v="3"/>
    <n v="2"/>
    <n v="1"/>
    <n v="0"/>
    <n v="0"/>
    <n v="0"/>
    <s v="30-39"/>
  </r>
  <r>
    <n v="22"/>
    <x v="0"/>
    <s v="Travel_Rarely"/>
    <n v="391"/>
    <x v="1"/>
    <n v="7"/>
    <n v="1"/>
    <s v="Life Sciences"/>
    <n v="1878"/>
    <n v="4"/>
    <s v="Male"/>
    <n v="75"/>
    <n v="3"/>
    <n v="1"/>
    <x v="1"/>
    <n v="2"/>
    <s v="Single"/>
    <n v="2472"/>
    <n v="26092"/>
    <n v="1"/>
    <x v="0"/>
    <n v="23"/>
    <n v="4"/>
    <n v="1"/>
    <n v="0"/>
    <n v="1"/>
    <n v="2"/>
    <n v="3"/>
    <n v="1"/>
    <n v="0"/>
    <n v="0"/>
    <n v="0"/>
    <s v="Below 30"/>
  </r>
  <r>
    <n v="36"/>
    <x v="1"/>
    <s v="Travel_Rarely"/>
    <n v="1266"/>
    <x v="0"/>
    <n v="10"/>
    <n v="4"/>
    <s v="Technical Degree"/>
    <n v="1880"/>
    <n v="2"/>
    <s v="Female"/>
    <n v="63"/>
    <n v="2"/>
    <n v="2"/>
    <x v="0"/>
    <n v="3"/>
    <s v="Married"/>
    <n v="5673"/>
    <n v="6060"/>
    <n v="1"/>
    <x v="0"/>
    <n v="13"/>
    <n v="3"/>
    <n v="1"/>
    <n v="1"/>
    <n v="10"/>
    <n v="4"/>
    <n v="3"/>
    <n v="10"/>
    <n v="9"/>
    <n v="1"/>
    <n v="7"/>
    <s v="30-39"/>
  </r>
  <r>
    <n v="31"/>
    <x v="1"/>
    <s v="Travel_Rarely"/>
    <n v="311"/>
    <x v="1"/>
    <n v="20"/>
    <n v="3"/>
    <s v="Life Sciences"/>
    <n v="1881"/>
    <n v="2"/>
    <s v="Male"/>
    <n v="89"/>
    <n v="3"/>
    <n v="2"/>
    <x v="2"/>
    <n v="3"/>
    <s v="Divorced"/>
    <n v="4197"/>
    <n v="18624"/>
    <n v="1"/>
    <x v="1"/>
    <n v="11"/>
    <n v="3"/>
    <n v="1"/>
    <n v="1"/>
    <n v="10"/>
    <n v="2"/>
    <n v="3"/>
    <n v="10"/>
    <n v="8"/>
    <n v="0"/>
    <n v="2"/>
    <s v="30-39"/>
  </r>
  <r>
    <n v="34"/>
    <x v="1"/>
    <s v="Travel_Rarely"/>
    <n v="1480"/>
    <x v="0"/>
    <n v="4"/>
    <n v="3"/>
    <s v="Life Sciences"/>
    <n v="1882"/>
    <n v="3"/>
    <s v="Male"/>
    <n v="64"/>
    <n v="3"/>
    <n v="3"/>
    <x v="0"/>
    <n v="4"/>
    <s v="Married"/>
    <n v="9713"/>
    <n v="24444"/>
    <n v="2"/>
    <x v="0"/>
    <n v="13"/>
    <n v="3"/>
    <n v="4"/>
    <n v="3"/>
    <n v="9"/>
    <n v="3"/>
    <n v="3"/>
    <n v="5"/>
    <n v="3"/>
    <n v="1"/>
    <n v="0"/>
    <s v="30-39"/>
  </r>
  <r>
    <n v="29"/>
    <x v="1"/>
    <s v="Travel_Rarely"/>
    <n v="592"/>
    <x v="1"/>
    <n v="7"/>
    <n v="3"/>
    <s v="Life Sciences"/>
    <n v="1883"/>
    <n v="4"/>
    <s v="Male"/>
    <n v="59"/>
    <n v="3"/>
    <n v="1"/>
    <x v="2"/>
    <n v="1"/>
    <s v="Single"/>
    <n v="2062"/>
    <n v="19384"/>
    <n v="3"/>
    <x v="1"/>
    <n v="14"/>
    <n v="3"/>
    <n v="2"/>
    <n v="0"/>
    <n v="11"/>
    <n v="2"/>
    <n v="3"/>
    <n v="3"/>
    <n v="2"/>
    <n v="1"/>
    <n v="2"/>
    <s v="Below 30"/>
  </r>
  <r>
    <n v="37"/>
    <x v="1"/>
    <s v="Travel_Rarely"/>
    <n v="783"/>
    <x v="1"/>
    <n v="7"/>
    <n v="4"/>
    <s v="Medical"/>
    <n v="1885"/>
    <n v="4"/>
    <s v="Male"/>
    <n v="78"/>
    <n v="3"/>
    <n v="2"/>
    <x v="1"/>
    <n v="1"/>
    <s v="Married"/>
    <n v="4284"/>
    <n v="13588"/>
    <n v="5"/>
    <x v="0"/>
    <n v="22"/>
    <n v="4"/>
    <n v="3"/>
    <n v="1"/>
    <n v="16"/>
    <n v="2"/>
    <n v="3"/>
    <n v="5"/>
    <n v="3"/>
    <n v="0"/>
    <n v="4"/>
    <s v="30-39"/>
  </r>
  <r>
    <n v="35"/>
    <x v="1"/>
    <s v="Travel_Rarely"/>
    <n v="219"/>
    <x v="1"/>
    <n v="16"/>
    <n v="2"/>
    <s v="Other"/>
    <n v="1886"/>
    <n v="4"/>
    <s v="Female"/>
    <n v="44"/>
    <n v="2"/>
    <n v="2"/>
    <x v="3"/>
    <n v="2"/>
    <s v="Married"/>
    <n v="4788"/>
    <n v="25388"/>
    <n v="0"/>
    <x v="0"/>
    <n v="11"/>
    <n v="3"/>
    <n v="4"/>
    <n v="0"/>
    <n v="4"/>
    <n v="2"/>
    <n v="3"/>
    <n v="3"/>
    <n v="2"/>
    <n v="0"/>
    <n v="2"/>
    <s v="30-39"/>
  </r>
  <r>
    <n v="45"/>
    <x v="1"/>
    <s v="Travel_Rarely"/>
    <n v="556"/>
    <x v="1"/>
    <n v="25"/>
    <n v="2"/>
    <s v="Life Sciences"/>
    <n v="1888"/>
    <n v="2"/>
    <s v="Female"/>
    <n v="93"/>
    <n v="2"/>
    <n v="2"/>
    <x v="3"/>
    <n v="4"/>
    <s v="Married"/>
    <n v="5906"/>
    <n v="23888"/>
    <n v="0"/>
    <x v="1"/>
    <n v="13"/>
    <n v="3"/>
    <n v="4"/>
    <n v="2"/>
    <n v="10"/>
    <n v="2"/>
    <n v="2"/>
    <n v="9"/>
    <n v="8"/>
    <n v="3"/>
    <n v="8"/>
    <s v="40-49"/>
  </r>
  <r>
    <n v="36"/>
    <x v="1"/>
    <s v="Travel_Frequently"/>
    <n v="1213"/>
    <x v="2"/>
    <n v="2"/>
    <n v="1"/>
    <s v="Human Resources"/>
    <n v="1890"/>
    <n v="2"/>
    <s v="Male"/>
    <n v="94"/>
    <n v="2"/>
    <n v="2"/>
    <x v="8"/>
    <n v="4"/>
    <s v="Single"/>
    <n v="3886"/>
    <n v="4223"/>
    <n v="1"/>
    <x v="1"/>
    <n v="21"/>
    <n v="4"/>
    <n v="4"/>
    <n v="0"/>
    <n v="10"/>
    <n v="2"/>
    <n v="2"/>
    <n v="10"/>
    <n v="1"/>
    <n v="0"/>
    <n v="8"/>
    <s v="30-39"/>
  </r>
  <r>
    <n v="40"/>
    <x v="1"/>
    <s v="Travel_Rarely"/>
    <n v="1137"/>
    <x v="1"/>
    <n v="1"/>
    <n v="4"/>
    <s v="Life Sciences"/>
    <n v="1892"/>
    <n v="1"/>
    <s v="Male"/>
    <n v="98"/>
    <n v="3"/>
    <n v="4"/>
    <x v="5"/>
    <n v="1"/>
    <s v="Divorced"/>
    <n v="16823"/>
    <n v="18991"/>
    <n v="2"/>
    <x v="1"/>
    <n v="11"/>
    <n v="3"/>
    <n v="1"/>
    <n v="1"/>
    <n v="22"/>
    <n v="3"/>
    <n v="3"/>
    <n v="19"/>
    <n v="7"/>
    <n v="11"/>
    <n v="16"/>
    <s v="40-49"/>
  </r>
  <r>
    <n v="26"/>
    <x v="1"/>
    <s v="Travel_Rarely"/>
    <n v="482"/>
    <x v="1"/>
    <n v="1"/>
    <n v="2"/>
    <s v="Life Sciences"/>
    <n v="1893"/>
    <n v="2"/>
    <s v="Female"/>
    <n v="90"/>
    <n v="2"/>
    <n v="1"/>
    <x v="1"/>
    <n v="3"/>
    <s v="Married"/>
    <n v="2933"/>
    <n v="14908"/>
    <n v="1"/>
    <x v="0"/>
    <n v="13"/>
    <n v="3"/>
    <n v="3"/>
    <n v="1"/>
    <n v="1"/>
    <n v="3"/>
    <n v="2"/>
    <n v="1"/>
    <n v="0"/>
    <n v="1"/>
    <n v="0"/>
    <s v="Below 30"/>
  </r>
  <r>
    <n v="27"/>
    <x v="1"/>
    <s v="Travel_Rarely"/>
    <n v="511"/>
    <x v="0"/>
    <n v="2"/>
    <n v="2"/>
    <s v="Medical"/>
    <n v="1898"/>
    <n v="1"/>
    <s v="Female"/>
    <n v="89"/>
    <n v="4"/>
    <n v="2"/>
    <x v="0"/>
    <n v="3"/>
    <s v="Single"/>
    <n v="6500"/>
    <n v="26997"/>
    <n v="0"/>
    <x v="1"/>
    <n v="14"/>
    <n v="3"/>
    <n v="2"/>
    <n v="0"/>
    <n v="9"/>
    <n v="5"/>
    <n v="2"/>
    <n v="8"/>
    <n v="7"/>
    <n v="0"/>
    <n v="7"/>
    <s v="Below 30"/>
  </r>
  <r>
    <n v="48"/>
    <x v="1"/>
    <s v="Travel_Frequently"/>
    <n v="117"/>
    <x v="1"/>
    <n v="22"/>
    <n v="3"/>
    <s v="Medical"/>
    <n v="1900"/>
    <n v="4"/>
    <s v="Female"/>
    <n v="58"/>
    <n v="3"/>
    <n v="4"/>
    <x v="5"/>
    <n v="4"/>
    <s v="Divorced"/>
    <n v="17174"/>
    <n v="2437"/>
    <n v="3"/>
    <x v="1"/>
    <n v="11"/>
    <n v="3"/>
    <n v="2"/>
    <n v="1"/>
    <n v="24"/>
    <n v="3"/>
    <n v="3"/>
    <n v="22"/>
    <n v="17"/>
    <n v="4"/>
    <n v="7"/>
    <s v="40-49"/>
  </r>
  <r>
    <n v="44"/>
    <x v="1"/>
    <s v="Travel_Rarely"/>
    <n v="170"/>
    <x v="1"/>
    <n v="1"/>
    <n v="4"/>
    <s v="Life Sciences"/>
    <n v="1903"/>
    <n v="2"/>
    <s v="Male"/>
    <n v="78"/>
    <n v="4"/>
    <n v="2"/>
    <x v="4"/>
    <n v="1"/>
    <s v="Married"/>
    <n v="5033"/>
    <n v="9364"/>
    <n v="2"/>
    <x v="1"/>
    <n v="15"/>
    <n v="3"/>
    <n v="4"/>
    <n v="1"/>
    <n v="10"/>
    <n v="5"/>
    <n v="3"/>
    <n v="2"/>
    <n v="0"/>
    <n v="2"/>
    <n v="2"/>
    <s v="40-49"/>
  </r>
  <r>
    <n v="34"/>
    <x v="0"/>
    <s v="Non-Travel"/>
    <n v="967"/>
    <x v="1"/>
    <n v="16"/>
    <n v="4"/>
    <s v="Technical Degree"/>
    <n v="1905"/>
    <n v="4"/>
    <s v="Male"/>
    <n v="85"/>
    <n v="1"/>
    <n v="1"/>
    <x v="1"/>
    <n v="1"/>
    <s v="Married"/>
    <n v="2307"/>
    <n v="14460"/>
    <n v="1"/>
    <x v="0"/>
    <n v="23"/>
    <n v="4"/>
    <n v="2"/>
    <n v="1"/>
    <n v="5"/>
    <n v="2"/>
    <n v="3"/>
    <n v="5"/>
    <n v="2"/>
    <n v="3"/>
    <n v="0"/>
    <s v="30-39"/>
  </r>
  <r>
    <n v="56"/>
    <x v="0"/>
    <s v="Travel_Rarely"/>
    <n v="1162"/>
    <x v="1"/>
    <n v="24"/>
    <n v="2"/>
    <s v="Life Sciences"/>
    <n v="1907"/>
    <n v="1"/>
    <s v="Male"/>
    <n v="97"/>
    <n v="3"/>
    <n v="1"/>
    <x v="2"/>
    <n v="4"/>
    <s v="Single"/>
    <n v="2587"/>
    <n v="10261"/>
    <n v="1"/>
    <x v="1"/>
    <n v="16"/>
    <n v="3"/>
    <n v="4"/>
    <n v="0"/>
    <n v="5"/>
    <n v="3"/>
    <n v="3"/>
    <n v="4"/>
    <n v="2"/>
    <n v="1"/>
    <n v="0"/>
    <s v="50+"/>
  </r>
  <r>
    <n v="36"/>
    <x v="1"/>
    <s v="Travel_Rarely"/>
    <n v="335"/>
    <x v="0"/>
    <n v="17"/>
    <n v="2"/>
    <s v="Marketing"/>
    <n v="1908"/>
    <n v="3"/>
    <s v="Male"/>
    <n v="33"/>
    <n v="2"/>
    <n v="2"/>
    <x v="0"/>
    <n v="2"/>
    <s v="Married"/>
    <n v="5507"/>
    <n v="16822"/>
    <n v="2"/>
    <x v="1"/>
    <n v="16"/>
    <n v="3"/>
    <n v="3"/>
    <n v="2"/>
    <n v="12"/>
    <n v="1"/>
    <n v="1"/>
    <n v="4"/>
    <n v="2"/>
    <n v="1"/>
    <n v="3"/>
    <s v="30-39"/>
  </r>
  <r>
    <n v="41"/>
    <x v="1"/>
    <s v="Travel_Rarely"/>
    <n v="337"/>
    <x v="0"/>
    <n v="8"/>
    <n v="3"/>
    <s v="Marketing"/>
    <n v="1909"/>
    <n v="3"/>
    <s v="Female"/>
    <n v="54"/>
    <n v="3"/>
    <n v="2"/>
    <x v="0"/>
    <n v="2"/>
    <s v="Married"/>
    <n v="4393"/>
    <n v="26841"/>
    <n v="5"/>
    <x v="1"/>
    <n v="21"/>
    <n v="4"/>
    <n v="3"/>
    <n v="1"/>
    <n v="14"/>
    <n v="3"/>
    <n v="3"/>
    <n v="5"/>
    <n v="4"/>
    <n v="1"/>
    <n v="4"/>
    <s v="40-49"/>
  </r>
  <r>
    <n v="42"/>
    <x v="1"/>
    <s v="Travel_Rarely"/>
    <n v="1396"/>
    <x v="1"/>
    <n v="6"/>
    <n v="3"/>
    <s v="Medical"/>
    <n v="1911"/>
    <n v="3"/>
    <s v="Male"/>
    <n v="83"/>
    <n v="3"/>
    <n v="3"/>
    <x v="7"/>
    <n v="1"/>
    <s v="Married"/>
    <n v="13348"/>
    <n v="14842"/>
    <n v="9"/>
    <x v="1"/>
    <n v="13"/>
    <n v="3"/>
    <n v="2"/>
    <n v="1"/>
    <n v="18"/>
    <n v="3"/>
    <n v="4"/>
    <n v="13"/>
    <n v="7"/>
    <n v="5"/>
    <n v="7"/>
    <s v="40-49"/>
  </r>
  <r>
    <n v="31"/>
    <x v="1"/>
    <s v="Travel_Rarely"/>
    <n v="1079"/>
    <x v="0"/>
    <n v="10"/>
    <n v="2"/>
    <s v="Medical"/>
    <n v="1912"/>
    <n v="3"/>
    <s v="Female"/>
    <n v="86"/>
    <n v="3"/>
    <n v="2"/>
    <x v="0"/>
    <n v="4"/>
    <s v="Divorced"/>
    <n v="6583"/>
    <n v="20115"/>
    <n v="2"/>
    <x v="0"/>
    <n v="11"/>
    <n v="3"/>
    <n v="4"/>
    <n v="1"/>
    <n v="8"/>
    <n v="2"/>
    <n v="3"/>
    <n v="5"/>
    <n v="2"/>
    <n v="1"/>
    <n v="4"/>
    <s v="30-39"/>
  </r>
  <r>
    <n v="34"/>
    <x v="1"/>
    <s v="Travel_Rarely"/>
    <n v="735"/>
    <x v="0"/>
    <n v="3"/>
    <n v="1"/>
    <s v="Medical"/>
    <n v="1915"/>
    <n v="4"/>
    <s v="Female"/>
    <n v="75"/>
    <n v="2"/>
    <n v="2"/>
    <x v="0"/>
    <n v="4"/>
    <s v="Married"/>
    <n v="8103"/>
    <n v="16495"/>
    <n v="3"/>
    <x v="0"/>
    <n v="12"/>
    <n v="3"/>
    <n v="3"/>
    <n v="0"/>
    <n v="9"/>
    <n v="3"/>
    <n v="2"/>
    <n v="4"/>
    <n v="2"/>
    <n v="0"/>
    <n v="1"/>
    <s v="30-39"/>
  </r>
  <r>
    <n v="31"/>
    <x v="1"/>
    <s v="Travel_Rarely"/>
    <n v="471"/>
    <x v="1"/>
    <n v="4"/>
    <n v="3"/>
    <s v="Medical"/>
    <n v="1916"/>
    <n v="1"/>
    <s v="Female"/>
    <n v="62"/>
    <n v="4"/>
    <n v="1"/>
    <x v="2"/>
    <n v="3"/>
    <s v="Divorced"/>
    <n v="3978"/>
    <n v="16031"/>
    <n v="8"/>
    <x v="1"/>
    <n v="12"/>
    <n v="3"/>
    <n v="2"/>
    <n v="1"/>
    <n v="4"/>
    <n v="0"/>
    <n v="2"/>
    <n v="2"/>
    <n v="2"/>
    <n v="2"/>
    <n v="2"/>
    <s v="30-39"/>
  </r>
  <r>
    <n v="26"/>
    <x v="1"/>
    <s v="Travel_Frequently"/>
    <n v="1096"/>
    <x v="1"/>
    <n v="6"/>
    <n v="3"/>
    <s v="Other"/>
    <n v="1918"/>
    <n v="3"/>
    <s v="Male"/>
    <n v="61"/>
    <n v="4"/>
    <n v="1"/>
    <x v="2"/>
    <n v="4"/>
    <s v="Married"/>
    <n v="2544"/>
    <n v="7102"/>
    <n v="0"/>
    <x v="1"/>
    <n v="18"/>
    <n v="3"/>
    <n v="1"/>
    <n v="1"/>
    <n v="8"/>
    <n v="3"/>
    <n v="3"/>
    <n v="7"/>
    <n v="7"/>
    <n v="7"/>
    <n v="7"/>
    <s v="Below 30"/>
  </r>
  <r>
    <n v="45"/>
    <x v="1"/>
    <s v="Travel_Frequently"/>
    <n v="1297"/>
    <x v="1"/>
    <n v="1"/>
    <n v="4"/>
    <s v="Medical"/>
    <n v="1922"/>
    <n v="2"/>
    <s v="Male"/>
    <n v="44"/>
    <n v="3"/>
    <n v="2"/>
    <x v="4"/>
    <n v="3"/>
    <s v="Single"/>
    <n v="5399"/>
    <n v="14511"/>
    <n v="4"/>
    <x v="1"/>
    <n v="12"/>
    <n v="3"/>
    <n v="3"/>
    <n v="0"/>
    <n v="12"/>
    <n v="3"/>
    <n v="3"/>
    <n v="4"/>
    <n v="2"/>
    <n v="0"/>
    <n v="3"/>
    <s v="40-49"/>
  </r>
  <r>
    <n v="33"/>
    <x v="1"/>
    <s v="Travel_Rarely"/>
    <n v="217"/>
    <x v="0"/>
    <n v="10"/>
    <n v="4"/>
    <s v="Marketing"/>
    <n v="1924"/>
    <n v="2"/>
    <s v="Male"/>
    <n v="43"/>
    <n v="3"/>
    <n v="2"/>
    <x v="0"/>
    <n v="3"/>
    <s v="Single"/>
    <n v="5487"/>
    <n v="10410"/>
    <n v="1"/>
    <x v="1"/>
    <n v="14"/>
    <n v="3"/>
    <n v="2"/>
    <n v="0"/>
    <n v="10"/>
    <n v="2"/>
    <n v="2"/>
    <n v="10"/>
    <n v="4"/>
    <n v="0"/>
    <n v="9"/>
    <s v="30-39"/>
  </r>
  <r>
    <n v="28"/>
    <x v="1"/>
    <s v="Travel_Frequently"/>
    <n v="783"/>
    <x v="0"/>
    <n v="1"/>
    <n v="2"/>
    <s v="Life Sciences"/>
    <n v="1927"/>
    <n v="3"/>
    <s v="Male"/>
    <n v="42"/>
    <n v="2"/>
    <n v="2"/>
    <x v="0"/>
    <n v="4"/>
    <s v="Married"/>
    <n v="6834"/>
    <n v="19255"/>
    <n v="1"/>
    <x v="0"/>
    <n v="12"/>
    <n v="3"/>
    <n v="3"/>
    <n v="1"/>
    <n v="7"/>
    <n v="2"/>
    <n v="3"/>
    <n v="7"/>
    <n v="7"/>
    <n v="0"/>
    <n v="7"/>
    <s v="Below 30"/>
  </r>
  <r>
    <n v="29"/>
    <x v="0"/>
    <s v="Travel_Frequently"/>
    <n v="746"/>
    <x v="0"/>
    <n v="24"/>
    <n v="3"/>
    <s v="Technical Degree"/>
    <n v="1928"/>
    <n v="3"/>
    <s v="Male"/>
    <n v="45"/>
    <n v="4"/>
    <n v="1"/>
    <x v="6"/>
    <n v="1"/>
    <s v="Single"/>
    <n v="1091"/>
    <n v="10642"/>
    <n v="1"/>
    <x v="1"/>
    <n v="17"/>
    <n v="3"/>
    <n v="4"/>
    <n v="0"/>
    <n v="1"/>
    <n v="3"/>
    <n v="3"/>
    <n v="1"/>
    <n v="0"/>
    <n v="0"/>
    <n v="0"/>
    <s v="Below 30"/>
  </r>
  <r>
    <n v="39"/>
    <x v="1"/>
    <s v="Non-Travel"/>
    <n v="1251"/>
    <x v="0"/>
    <n v="21"/>
    <n v="4"/>
    <s v="Life Sciences"/>
    <n v="1929"/>
    <n v="1"/>
    <s v="Female"/>
    <n v="32"/>
    <n v="1"/>
    <n v="2"/>
    <x v="0"/>
    <n v="3"/>
    <s v="Married"/>
    <n v="5736"/>
    <n v="3987"/>
    <n v="6"/>
    <x v="1"/>
    <n v="19"/>
    <n v="3"/>
    <n v="3"/>
    <n v="1"/>
    <n v="10"/>
    <n v="1"/>
    <n v="3"/>
    <n v="3"/>
    <n v="2"/>
    <n v="1"/>
    <n v="2"/>
    <s v="30-39"/>
  </r>
  <r>
    <n v="27"/>
    <x v="1"/>
    <s v="Travel_Rarely"/>
    <n v="1354"/>
    <x v="1"/>
    <n v="2"/>
    <n v="4"/>
    <s v="Technical Degree"/>
    <n v="1931"/>
    <n v="2"/>
    <s v="Male"/>
    <n v="41"/>
    <n v="3"/>
    <n v="1"/>
    <x v="1"/>
    <n v="2"/>
    <s v="Married"/>
    <n v="2226"/>
    <n v="6073"/>
    <n v="1"/>
    <x v="1"/>
    <n v="11"/>
    <n v="3"/>
    <n v="3"/>
    <n v="1"/>
    <n v="6"/>
    <n v="3"/>
    <n v="2"/>
    <n v="5"/>
    <n v="3"/>
    <n v="1"/>
    <n v="2"/>
    <s v="Below 30"/>
  </r>
  <r>
    <n v="34"/>
    <x v="1"/>
    <s v="Travel_Frequently"/>
    <n v="735"/>
    <x v="1"/>
    <n v="22"/>
    <n v="4"/>
    <s v="Other"/>
    <n v="1932"/>
    <n v="3"/>
    <s v="Male"/>
    <n v="86"/>
    <n v="2"/>
    <n v="2"/>
    <x v="1"/>
    <n v="4"/>
    <s v="Married"/>
    <n v="5747"/>
    <n v="26496"/>
    <n v="1"/>
    <x v="0"/>
    <n v="15"/>
    <n v="3"/>
    <n v="2"/>
    <n v="0"/>
    <n v="16"/>
    <n v="3"/>
    <n v="3"/>
    <n v="15"/>
    <n v="10"/>
    <n v="6"/>
    <n v="11"/>
    <s v="30-39"/>
  </r>
  <r>
    <n v="28"/>
    <x v="0"/>
    <s v="Travel_Rarely"/>
    <n v="1475"/>
    <x v="0"/>
    <n v="13"/>
    <n v="2"/>
    <s v="Marketing"/>
    <n v="1933"/>
    <n v="4"/>
    <s v="Female"/>
    <n v="84"/>
    <n v="3"/>
    <n v="2"/>
    <x v="0"/>
    <n v="3"/>
    <s v="Single"/>
    <n v="9854"/>
    <n v="23352"/>
    <n v="3"/>
    <x v="0"/>
    <n v="11"/>
    <n v="3"/>
    <n v="4"/>
    <n v="0"/>
    <n v="6"/>
    <n v="0"/>
    <n v="3"/>
    <n v="2"/>
    <n v="0"/>
    <n v="2"/>
    <n v="2"/>
    <s v="Below 30"/>
  </r>
  <r>
    <n v="47"/>
    <x v="1"/>
    <s v="Non-Travel"/>
    <n v="1169"/>
    <x v="1"/>
    <n v="14"/>
    <n v="4"/>
    <s v="Technical Degree"/>
    <n v="1934"/>
    <n v="3"/>
    <s v="Male"/>
    <n v="64"/>
    <n v="3"/>
    <n v="2"/>
    <x v="1"/>
    <n v="2"/>
    <s v="Married"/>
    <n v="5467"/>
    <n v="2125"/>
    <n v="8"/>
    <x v="1"/>
    <n v="18"/>
    <n v="3"/>
    <n v="3"/>
    <n v="1"/>
    <n v="16"/>
    <n v="4"/>
    <n v="4"/>
    <n v="8"/>
    <n v="7"/>
    <n v="1"/>
    <n v="7"/>
    <s v="40-49"/>
  </r>
  <r>
    <n v="56"/>
    <x v="1"/>
    <s v="Travel_Rarely"/>
    <n v="1443"/>
    <x v="0"/>
    <n v="11"/>
    <n v="5"/>
    <s v="Marketing"/>
    <n v="1935"/>
    <n v="4"/>
    <s v="Female"/>
    <n v="89"/>
    <n v="2"/>
    <n v="2"/>
    <x v="0"/>
    <n v="1"/>
    <s v="Married"/>
    <n v="5380"/>
    <n v="20328"/>
    <n v="4"/>
    <x v="1"/>
    <n v="16"/>
    <n v="3"/>
    <n v="3"/>
    <n v="1"/>
    <n v="6"/>
    <n v="3"/>
    <n v="3"/>
    <n v="0"/>
    <n v="0"/>
    <n v="0"/>
    <n v="0"/>
    <s v="50+"/>
  </r>
  <r>
    <n v="39"/>
    <x v="1"/>
    <s v="Travel_Rarely"/>
    <n v="867"/>
    <x v="1"/>
    <n v="9"/>
    <n v="2"/>
    <s v="Medical"/>
    <n v="1936"/>
    <n v="1"/>
    <s v="Male"/>
    <n v="87"/>
    <n v="3"/>
    <n v="2"/>
    <x v="3"/>
    <n v="1"/>
    <s v="Married"/>
    <n v="5151"/>
    <n v="12315"/>
    <n v="1"/>
    <x v="1"/>
    <n v="25"/>
    <n v="4"/>
    <n v="4"/>
    <n v="1"/>
    <n v="10"/>
    <n v="3"/>
    <n v="3"/>
    <n v="10"/>
    <n v="0"/>
    <n v="7"/>
    <n v="9"/>
    <s v="30-39"/>
  </r>
  <r>
    <n v="38"/>
    <x v="1"/>
    <s v="Travel_Frequently"/>
    <n v="1394"/>
    <x v="1"/>
    <n v="8"/>
    <n v="3"/>
    <s v="Medical"/>
    <n v="1937"/>
    <n v="4"/>
    <s v="Female"/>
    <n v="58"/>
    <n v="2"/>
    <n v="2"/>
    <x v="1"/>
    <n v="2"/>
    <s v="Divorced"/>
    <n v="2133"/>
    <n v="18115"/>
    <n v="1"/>
    <x v="0"/>
    <n v="16"/>
    <n v="3"/>
    <n v="3"/>
    <n v="1"/>
    <n v="20"/>
    <n v="3"/>
    <n v="3"/>
    <n v="20"/>
    <n v="11"/>
    <n v="0"/>
    <n v="7"/>
    <s v="30-39"/>
  </r>
  <r>
    <n v="58"/>
    <x v="1"/>
    <s v="Travel_Rarely"/>
    <n v="605"/>
    <x v="0"/>
    <n v="21"/>
    <n v="3"/>
    <s v="Life Sciences"/>
    <n v="1938"/>
    <n v="4"/>
    <s v="Female"/>
    <n v="72"/>
    <n v="3"/>
    <n v="4"/>
    <x v="5"/>
    <n v="4"/>
    <s v="Married"/>
    <n v="17875"/>
    <n v="11761"/>
    <n v="4"/>
    <x v="0"/>
    <n v="13"/>
    <n v="3"/>
    <n v="3"/>
    <n v="1"/>
    <n v="29"/>
    <n v="2"/>
    <n v="2"/>
    <n v="1"/>
    <n v="0"/>
    <n v="0"/>
    <n v="0"/>
    <s v="50+"/>
  </r>
  <r>
    <n v="32"/>
    <x v="0"/>
    <s v="Travel_Frequently"/>
    <n v="238"/>
    <x v="1"/>
    <n v="5"/>
    <n v="2"/>
    <s v="Life Sciences"/>
    <n v="1939"/>
    <n v="1"/>
    <s v="Female"/>
    <n v="47"/>
    <n v="4"/>
    <n v="1"/>
    <x v="1"/>
    <n v="3"/>
    <s v="Single"/>
    <n v="2432"/>
    <n v="15318"/>
    <n v="3"/>
    <x v="0"/>
    <n v="14"/>
    <n v="3"/>
    <n v="1"/>
    <n v="0"/>
    <n v="8"/>
    <n v="2"/>
    <n v="3"/>
    <n v="4"/>
    <n v="1"/>
    <n v="0"/>
    <n v="3"/>
    <s v="30-39"/>
  </r>
  <r>
    <n v="38"/>
    <x v="1"/>
    <s v="Travel_Rarely"/>
    <n v="1206"/>
    <x v="1"/>
    <n v="9"/>
    <n v="2"/>
    <s v="Life Sciences"/>
    <n v="1940"/>
    <n v="2"/>
    <s v="Male"/>
    <n v="71"/>
    <n v="3"/>
    <n v="1"/>
    <x v="1"/>
    <n v="4"/>
    <s v="Divorced"/>
    <n v="4771"/>
    <n v="14293"/>
    <n v="2"/>
    <x v="1"/>
    <n v="19"/>
    <n v="3"/>
    <n v="4"/>
    <n v="2"/>
    <n v="10"/>
    <n v="0"/>
    <n v="4"/>
    <n v="5"/>
    <n v="2"/>
    <n v="0"/>
    <n v="3"/>
    <s v="30-39"/>
  </r>
  <r>
    <n v="49"/>
    <x v="1"/>
    <s v="Travel_Frequently"/>
    <n v="1064"/>
    <x v="1"/>
    <n v="2"/>
    <n v="1"/>
    <s v="Life Sciences"/>
    <n v="1941"/>
    <n v="2"/>
    <s v="Male"/>
    <n v="42"/>
    <n v="3"/>
    <n v="5"/>
    <x v="7"/>
    <n v="4"/>
    <s v="Married"/>
    <n v="19161"/>
    <n v="13738"/>
    <n v="3"/>
    <x v="1"/>
    <n v="15"/>
    <n v="3"/>
    <n v="4"/>
    <n v="0"/>
    <n v="28"/>
    <n v="3"/>
    <n v="3"/>
    <n v="5"/>
    <n v="4"/>
    <n v="4"/>
    <n v="3"/>
    <s v="40-49"/>
  </r>
  <r>
    <n v="42"/>
    <x v="1"/>
    <s v="Travel_Rarely"/>
    <n v="419"/>
    <x v="0"/>
    <n v="12"/>
    <n v="4"/>
    <s v="Marketing"/>
    <n v="1943"/>
    <n v="2"/>
    <s v="Male"/>
    <n v="77"/>
    <n v="3"/>
    <n v="2"/>
    <x v="0"/>
    <n v="4"/>
    <s v="Divorced"/>
    <n v="5087"/>
    <n v="2900"/>
    <n v="3"/>
    <x v="0"/>
    <n v="12"/>
    <n v="3"/>
    <n v="3"/>
    <n v="2"/>
    <n v="14"/>
    <n v="4"/>
    <n v="3"/>
    <n v="0"/>
    <n v="0"/>
    <n v="0"/>
    <n v="0"/>
    <s v="40-49"/>
  </r>
  <r>
    <n v="27"/>
    <x v="0"/>
    <s v="Travel_Frequently"/>
    <n v="1337"/>
    <x v="2"/>
    <n v="22"/>
    <n v="3"/>
    <s v="Human Resources"/>
    <n v="1944"/>
    <n v="1"/>
    <s v="Female"/>
    <n v="58"/>
    <n v="2"/>
    <n v="1"/>
    <x v="8"/>
    <n v="2"/>
    <s v="Married"/>
    <n v="2863"/>
    <n v="19555"/>
    <n v="1"/>
    <x v="1"/>
    <n v="12"/>
    <n v="3"/>
    <n v="1"/>
    <n v="0"/>
    <n v="1"/>
    <n v="2"/>
    <n v="3"/>
    <n v="1"/>
    <n v="0"/>
    <n v="0"/>
    <n v="0"/>
    <s v="Below 30"/>
  </r>
  <r>
    <n v="35"/>
    <x v="1"/>
    <s v="Travel_Rarely"/>
    <n v="682"/>
    <x v="0"/>
    <n v="18"/>
    <n v="4"/>
    <s v="Medical"/>
    <n v="1945"/>
    <n v="2"/>
    <s v="Male"/>
    <n v="71"/>
    <n v="3"/>
    <n v="2"/>
    <x v="0"/>
    <n v="1"/>
    <s v="Married"/>
    <n v="5561"/>
    <n v="15975"/>
    <n v="0"/>
    <x v="1"/>
    <n v="16"/>
    <n v="3"/>
    <n v="4"/>
    <n v="1"/>
    <n v="6"/>
    <n v="2"/>
    <n v="1"/>
    <n v="5"/>
    <n v="3"/>
    <n v="0"/>
    <n v="4"/>
    <s v="30-39"/>
  </r>
  <r>
    <n v="28"/>
    <x v="1"/>
    <s v="Non-Travel"/>
    <n v="1103"/>
    <x v="1"/>
    <n v="16"/>
    <n v="3"/>
    <s v="Medical"/>
    <n v="1947"/>
    <n v="3"/>
    <s v="Male"/>
    <n v="49"/>
    <n v="3"/>
    <n v="1"/>
    <x v="1"/>
    <n v="3"/>
    <s v="Single"/>
    <n v="2144"/>
    <n v="2122"/>
    <n v="1"/>
    <x v="1"/>
    <n v="14"/>
    <n v="3"/>
    <n v="3"/>
    <n v="0"/>
    <n v="5"/>
    <n v="3"/>
    <n v="2"/>
    <n v="5"/>
    <n v="3"/>
    <n v="1"/>
    <n v="4"/>
    <s v="Below 30"/>
  </r>
  <r>
    <n v="31"/>
    <x v="1"/>
    <s v="Non-Travel"/>
    <n v="976"/>
    <x v="1"/>
    <n v="3"/>
    <n v="2"/>
    <s v="Medical"/>
    <n v="1948"/>
    <n v="3"/>
    <s v="Male"/>
    <n v="48"/>
    <n v="3"/>
    <n v="1"/>
    <x v="1"/>
    <n v="1"/>
    <s v="Divorced"/>
    <n v="3065"/>
    <n v="3995"/>
    <n v="1"/>
    <x v="0"/>
    <n v="13"/>
    <n v="3"/>
    <n v="4"/>
    <n v="1"/>
    <n v="4"/>
    <n v="3"/>
    <n v="4"/>
    <n v="4"/>
    <n v="2"/>
    <n v="2"/>
    <n v="3"/>
    <s v="30-39"/>
  </r>
  <r>
    <n v="36"/>
    <x v="1"/>
    <s v="Non-Travel"/>
    <n v="1351"/>
    <x v="1"/>
    <n v="9"/>
    <n v="4"/>
    <s v="Life Sciences"/>
    <n v="1949"/>
    <n v="1"/>
    <s v="Male"/>
    <n v="66"/>
    <n v="4"/>
    <n v="1"/>
    <x v="2"/>
    <n v="2"/>
    <s v="Married"/>
    <n v="2810"/>
    <n v="9238"/>
    <n v="1"/>
    <x v="1"/>
    <n v="22"/>
    <n v="4"/>
    <n v="2"/>
    <n v="0"/>
    <n v="5"/>
    <n v="3"/>
    <n v="3"/>
    <n v="5"/>
    <n v="4"/>
    <n v="0"/>
    <n v="2"/>
    <s v="30-39"/>
  </r>
  <r>
    <n v="34"/>
    <x v="1"/>
    <s v="Travel_Rarely"/>
    <n v="937"/>
    <x v="0"/>
    <n v="1"/>
    <n v="3"/>
    <s v="Marketing"/>
    <n v="1950"/>
    <n v="1"/>
    <s v="Male"/>
    <n v="32"/>
    <n v="3"/>
    <n v="3"/>
    <x v="0"/>
    <n v="4"/>
    <s v="Single"/>
    <n v="9888"/>
    <n v="6770"/>
    <n v="1"/>
    <x v="1"/>
    <n v="21"/>
    <n v="4"/>
    <n v="1"/>
    <n v="0"/>
    <n v="14"/>
    <n v="3"/>
    <n v="2"/>
    <n v="14"/>
    <n v="8"/>
    <n v="2"/>
    <n v="1"/>
    <s v="30-39"/>
  </r>
  <r>
    <n v="34"/>
    <x v="1"/>
    <s v="Travel_Rarely"/>
    <n v="1239"/>
    <x v="0"/>
    <n v="13"/>
    <n v="4"/>
    <s v="Medical"/>
    <n v="1951"/>
    <n v="4"/>
    <s v="Male"/>
    <n v="39"/>
    <n v="3"/>
    <n v="3"/>
    <x v="0"/>
    <n v="3"/>
    <s v="Divorced"/>
    <n v="8628"/>
    <n v="22914"/>
    <n v="1"/>
    <x v="1"/>
    <n v="18"/>
    <n v="3"/>
    <n v="3"/>
    <n v="1"/>
    <n v="9"/>
    <n v="2"/>
    <n v="2"/>
    <n v="8"/>
    <n v="7"/>
    <n v="1"/>
    <n v="1"/>
    <s v="30-39"/>
  </r>
  <r>
    <n v="26"/>
    <x v="1"/>
    <s v="Travel_Rarely"/>
    <n v="157"/>
    <x v="1"/>
    <n v="1"/>
    <n v="3"/>
    <s v="Medical"/>
    <n v="1952"/>
    <n v="3"/>
    <s v="Male"/>
    <n v="95"/>
    <n v="3"/>
    <n v="1"/>
    <x v="2"/>
    <n v="1"/>
    <s v="Single"/>
    <n v="2867"/>
    <n v="20006"/>
    <n v="0"/>
    <x v="1"/>
    <n v="13"/>
    <n v="3"/>
    <n v="4"/>
    <n v="0"/>
    <n v="8"/>
    <n v="6"/>
    <n v="2"/>
    <n v="7"/>
    <n v="7"/>
    <n v="7"/>
    <n v="6"/>
    <s v="Below 30"/>
  </r>
  <r>
    <n v="29"/>
    <x v="1"/>
    <s v="Travel_Rarely"/>
    <n v="136"/>
    <x v="1"/>
    <n v="1"/>
    <n v="3"/>
    <s v="Life Sciences"/>
    <n v="1954"/>
    <n v="1"/>
    <s v="Male"/>
    <n v="89"/>
    <n v="3"/>
    <n v="2"/>
    <x v="4"/>
    <n v="1"/>
    <s v="Married"/>
    <n v="5373"/>
    <n v="6225"/>
    <n v="0"/>
    <x v="1"/>
    <n v="12"/>
    <n v="3"/>
    <n v="1"/>
    <n v="1"/>
    <n v="6"/>
    <n v="5"/>
    <n v="2"/>
    <n v="5"/>
    <n v="3"/>
    <n v="0"/>
    <n v="2"/>
    <s v="Below 30"/>
  </r>
  <r>
    <n v="32"/>
    <x v="1"/>
    <s v="Non-Travel"/>
    <n v="1146"/>
    <x v="1"/>
    <n v="15"/>
    <n v="4"/>
    <s v="Medical"/>
    <n v="1955"/>
    <n v="3"/>
    <s v="Female"/>
    <n v="34"/>
    <n v="3"/>
    <n v="2"/>
    <x v="4"/>
    <n v="4"/>
    <s v="Divorced"/>
    <n v="6667"/>
    <n v="16542"/>
    <n v="5"/>
    <x v="1"/>
    <n v="18"/>
    <n v="3"/>
    <n v="2"/>
    <n v="1"/>
    <n v="9"/>
    <n v="6"/>
    <n v="3"/>
    <n v="5"/>
    <n v="1"/>
    <n v="1"/>
    <n v="2"/>
    <s v="30-39"/>
  </r>
  <r>
    <n v="31"/>
    <x v="1"/>
    <s v="Travel_Frequently"/>
    <n v="1125"/>
    <x v="1"/>
    <n v="1"/>
    <n v="3"/>
    <s v="Life Sciences"/>
    <n v="1956"/>
    <n v="4"/>
    <s v="Male"/>
    <n v="48"/>
    <n v="1"/>
    <n v="2"/>
    <x v="1"/>
    <n v="1"/>
    <s v="Married"/>
    <n v="5003"/>
    <n v="5771"/>
    <n v="1"/>
    <x v="1"/>
    <n v="21"/>
    <n v="4"/>
    <n v="2"/>
    <n v="0"/>
    <n v="10"/>
    <n v="6"/>
    <n v="3"/>
    <n v="10"/>
    <n v="8"/>
    <n v="8"/>
    <n v="7"/>
    <s v="30-39"/>
  </r>
  <r>
    <n v="28"/>
    <x v="0"/>
    <s v="Travel_Rarely"/>
    <n v="1404"/>
    <x v="1"/>
    <n v="17"/>
    <n v="3"/>
    <s v="Technical Degree"/>
    <n v="1960"/>
    <n v="3"/>
    <s v="Male"/>
    <n v="32"/>
    <n v="2"/>
    <n v="1"/>
    <x v="2"/>
    <n v="4"/>
    <s v="Divorced"/>
    <n v="2367"/>
    <n v="18779"/>
    <n v="5"/>
    <x v="1"/>
    <n v="12"/>
    <n v="3"/>
    <n v="1"/>
    <n v="1"/>
    <n v="6"/>
    <n v="2"/>
    <n v="2"/>
    <n v="4"/>
    <n v="1"/>
    <n v="0"/>
    <n v="3"/>
    <s v="Below 30"/>
  </r>
  <r>
    <n v="38"/>
    <x v="1"/>
    <s v="Travel_Rarely"/>
    <n v="1404"/>
    <x v="0"/>
    <n v="1"/>
    <n v="3"/>
    <s v="Life Sciences"/>
    <n v="1961"/>
    <n v="1"/>
    <s v="Male"/>
    <n v="59"/>
    <n v="2"/>
    <n v="1"/>
    <x v="6"/>
    <n v="1"/>
    <s v="Single"/>
    <n v="2858"/>
    <n v="11473"/>
    <n v="4"/>
    <x v="1"/>
    <n v="14"/>
    <n v="3"/>
    <n v="1"/>
    <n v="0"/>
    <n v="20"/>
    <n v="3"/>
    <n v="2"/>
    <n v="1"/>
    <n v="0"/>
    <n v="0"/>
    <n v="0"/>
    <s v="30-39"/>
  </r>
  <r>
    <n v="35"/>
    <x v="1"/>
    <s v="Travel_Rarely"/>
    <n v="1224"/>
    <x v="0"/>
    <n v="7"/>
    <n v="4"/>
    <s v="Life Sciences"/>
    <n v="1962"/>
    <n v="3"/>
    <s v="Female"/>
    <n v="55"/>
    <n v="3"/>
    <n v="2"/>
    <x v="0"/>
    <n v="4"/>
    <s v="Married"/>
    <n v="5204"/>
    <n v="13586"/>
    <n v="1"/>
    <x v="0"/>
    <n v="11"/>
    <n v="3"/>
    <n v="4"/>
    <n v="0"/>
    <n v="10"/>
    <n v="2"/>
    <n v="3"/>
    <n v="10"/>
    <n v="8"/>
    <n v="0"/>
    <n v="9"/>
    <s v="30-39"/>
  </r>
  <r>
    <n v="27"/>
    <x v="1"/>
    <s v="Travel_Rarely"/>
    <n v="954"/>
    <x v="0"/>
    <n v="9"/>
    <n v="3"/>
    <s v="Marketing"/>
    <n v="1965"/>
    <n v="4"/>
    <s v="Male"/>
    <n v="44"/>
    <n v="3"/>
    <n v="2"/>
    <x v="0"/>
    <n v="4"/>
    <s v="Single"/>
    <n v="4105"/>
    <n v="5099"/>
    <n v="1"/>
    <x v="1"/>
    <n v="14"/>
    <n v="3"/>
    <n v="1"/>
    <n v="0"/>
    <n v="7"/>
    <n v="5"/>
    <n v="3"/>
    <n v="7"/>
    <n v="7"/>
    <n v="0"/>
    <n v="7"/>
    <s v="Below 30"/>
  </r>
  <r>
    <n v="32"/>
    <x v="1"/>
    <s v="Travel_Rarely"/>
    <n v="1373"/>
    <x v="1"/>
    <n v="5"/>
    <n v="4"/>
    <s v="Life Sciences"/>
    <n v="1966"/>
    <n v="4"/>
    <s v="Male"/>
    <n v="56"/>
    <n v="2"/>
    <n v="2"/>
    <x v="3"/>
    <n v="4"/>
    <s v="Single"/>
    <n v="9679"/>
    <n v="10138"/>
    <n v="8"/>
    <x v="1"/>
    <n v="24"/>
    <n v="4"/>
    <n v="2"/>
    <n v="0"/>
    <n v="8"/>
    <n v="1"/>
    <n v="3"/>
    <n v="1"/>
    <n v="0"/>
    <n v="0"/>
    <n v="0"/>
    <s v="30-39"/>
  </r>
  <r>
    <n v="31"/>
    <x v="0"/>
    <s v="Travel_Frequently"/>
    <n v="754"/>
    <x v="0"/>
    <n v="26"/>
    <n v="4"/>
    <s v="Marketing"/>
    <n v="1967"/>
    <n v="1"/>
    <s v="Male"/>
    <n v="63"/>
    <n v="3"/>
    <n v="2"/>
    <x v="0"/>
    <n v="4"/>
    <s v="Married"/>
    <n v="5617"/>
    <n v="21075"/>
    <n v="1"/>
    <x v="0"/>
    <n v="11"/>
    <n v="3"/>
    <n v="3"/>
    <n v="0"/>
    <n v="10"/>
    <n v="4"/>
    <n v="3"/>
    <n v="10"/>
    <n v="7"/>
    <n v="0"/>
    <n v="8"/>
    <s v="30-39"/>
  </r>
  <r>
    <n v="53"/>
    <x v="0"/>
    <s v="Travel_Rarely"/>
    <n v="1168"/>
    <x v="0"/>
    <n v="24"/>
    <n v="4"/>
    <s v="Life Sciences"/>
    <n v="1968"/>
    <n v="1"/>
    <s v="Male"/>
    <n v="66"/>
    <n v="3"/>
    <n v="3"/>
    <x v="0"/>
    <n v="1"/>
    <s v="Single"/>
    <n v="10448"/>
    <n v="5843"/>
    <n v="6"/>
    <x v="0"/>
    <n v="13"/>
    <n v="3"/>
    <n v="2"/>
    <n v="0"/>
    <n v="15"/>
    <n v="2"/>
    <n v="2"/>
    <n v="2"/>
    <n v="2"/>
    <n v="2"/>
    <n v="2"/>
    <s v="50+"/>
  </r>
  <r>
    <n v="54"/>
    <x v="1"/>
    <s v="Travel_Rarely"/>
    <n v="155"/>
    <x v="1"/>
    <n v="9"/>
    <n v="2"/>
    <s v="Life Sciences"/>
    <n v="1969"/>
    <n v="1"/>
    <s v="Female"/>
    <n v="67"/>
    <n v="3"/>
    <n v="2"/>
    <x v="1"/>
    <n v="3"/>
    <s v="Married"/>
    <n v="2897"/>
    <n v="22474"/>
    <n v="3"/>
    <x v="1"/>
    <n v="11"/>
    <n v="3"/>
    <n v="3"/>
    <n v="2"/>
    <n v="9"/>
    <n v="6"/>
    <n v="2"/>
    <n v="4"/>
    <n v="3"/>
    <n v="2"/>
    <n v="3"/>
    <s v="50+"/>
  </r>
  <r>
    <n v="33"/>
    <x v="1"/>
    <s v="Travel_Frequently"/>
    <n v="1303"/>
    <x v="1"/>
    <n v="7"/>
    <n v="2"/>
    <s v="Life Sciences"/>
    <n v="1970"/>
    <n v="4"/>
    <s v="Male"/>
    <n v="36"/>
    <n v="3"/>
    <n v="2"/>
    <x v="4"/>
    <n v="3"/>
    <s v="Divorced"/>
    <n v="5968"/>
    <n v="18079"/>
    <n v="1"/>
    <x v="1"/>
    <n v="20"/>
    <n v="4"/>
    <n v="3"/>
    <n v="3"/>
    <n v="9"/>
    <n v="2"/>
    <n v="3"/>
    <n v="9"/>
    <n v="7"/>
    <n v="2"/>
    <n v="8"/>
    <s v="30-39"/>
  </r>
  <r>
    <n v="43"/>
    <x v="1"/>
    <s v="Travel_Rarely"/>
    <n v="574"/>
    <x v="1"/>
    <n v="11"/>
    <n v="3"/>
    <s v="Life Sciences"/>
    <n v="1971"/>
    <n v="1"/>
    <s v="Male"/>
    <n v="30"/>
    <n v="3"/>
    <n v="3"/>
    <x v="4"/>
    <n v="3"/>
    <s v="Married"/>
    <n v="7510"/>
    <n v="16873"/>
    <n v="1"/>
    <x v="1"/>
    <n v="17"/>
    <n v="3"/>
    <n v="2"/>
    <n v="1"/>
    <n v="10"/>
    <n v="1"/>
    <n v="3"/>
    <n v="10"/>
    <n v="9"/>
    <n v="0"/>
    <n v="9"/>
    <s v="40-49"/>
  </r>
  <r>
    <n v="38"/>
    <x v="1"/>
    <s v="Travel_Frequently"/>
    <n v="1444"/>
    <x v="2"/>
    <n v="1"/>
    <n v="4"/>
    <s v="Other"/>
    <n v="1972"/>
    <n v="4"/>
    <s v="Male"/>
    <n v="88"/>
    <n v="3"/>
    <n v="1"/>
    <x v="8"/>
    <n v="2"/>
    <s v="Married"/>
    <n v="2991"/>
    <n v="5224"/>
    <n v="0"/>
    <x v="0"/>
    <n v="11"/>
    <n v="3"/>
    <n v="2"/>
    <n v="1"/>
    <n v="7"/>
    <n v="2"/>
    <n v="3"/>
    <n v="6"/>
    <n v="2"/>
    <n v="1"/>
    <n v="2"/>
    <s v="30-39"/>
  </r>
  <r>
    <n v="55"/>
    <x v="1"/>
    <s v="Travel_Rarely"/>
    <n v="189"/>
    <x v="2"/>
    <n v="26"/>
    <n v="4"/>
    <s v="Human Resources"/>
    <n v="1973"/>
    <n v="3"/>
    <s v="Male"/>
    <n v="71"/>
    <n v="4"/>
    <n v="5"/>
    <x v="5"/>
    <n v="2"/>
    <s v="Married"/>
    <n v="19636"/>
    <n v="25811"/>
    <n v="4"/>
    <x v="0"/>
    <n v="18"/>
    <n v="3"/>
    <n v="1"/>
    <n v="1"/>
    <n v="35"/>
    <n v="0"/>
    <n v="3"/>
    <n v="10"/>
    <n v="9"/>
    <n v="1"/>
    <n v="4"/>
    <s v="50+"/>
  </r>
  <r>
    <n v="31"/>
    <x v="1"/>
    <s v="Travel_Rarely"/>
    <n v="1276"/>
    <x v="1"/>
    <n v="2"/>
    <n v="1"/>
    <s v="Medical"/>
    <n v="1974"/>
    <n v="4"/>
    <s v="Female"/>
    <n v="59"/>
    <n v="1"/>
    <n v="1"/>
    <x v="2"/>
    <n v="4"/>
    <s v="Divorced"/>
    <n v="1129"/>
    <n v="17536"/>
    <n v="1"/>
    <x v="0"/>
    <n v="11"/>
    <n v="3"/>
    <n v="3"/>
    <n v="3"/>
    <n v="1"/>
    <n v="4"/>
    <n v="3"/>
    <n v="1"/>
    <n v="0"/>
    <n v="0"/>
    <n v="0"/>
    <s v="30-39"/>
  </r>
  <r>
    <n v="39"/>
    <x v="1"/>
    <s v="Travel_Rarely"/>
    <n v="119"/>
    <x v="0"/>
    <n v="15"/>
    <n v="4"/>
    <s v="Marketing"/>
    <n v="1975"/>
    <n v="2"/>
    <s v="Male"/>
    <n v="77"/>
    <n v="3"/>
    <n v="4"/>
    <x v="0"/>
    <n v="1"/>
    <s v="Single"/>
    <n v="13341"/>
    <n v="25098"/>
    <n v="0"/>
    <x v="1"/>
    <n v="12"/>
    <n v="3"/>
    <n v="1"/>
    <n v="0"/>
    <n v="21"/>
    <n v="3"/>
    <n v="3"/>
    <n v="20"/>
    <n v="8"/>
    <n v="11"/>
    <n v="10"/>
    <s v="30-39"/>
  </r>
  <r>
    <n v="42"/>
    <x v="1"/>
    <s v="Non-Travel"/>
    <n v="335"/>
    <x v="1"/>
    <n v="23"/>
    <n v="2"/>
    <s v="Life Sciences"/>
    <n v="1976"/>
    <n v="4"/>
    <s v="Male"/>
    <n v="37"/>
    <n v="2"/>
    <n v="2"/>
    <x v="1"/>
    <n v="3"/>
    <s v="Single"/>
    <n v="4332"/>
    <n v="14811"/>
    <n v="1"/>
    <x v="1"/>
    <n v="12"/>
    <n v="3"/>
    <n v="4"/>
    <n v="0"/>
    <n v="20"/>
    <n v="2"/>
    <n v="3"/>
    <n v="20"/>
    <n v="9"/>
    <n v="3"/>
    <n v="7"/>
    <s v="40-49"/>
  </r>
  <r>
    <n v="31"/>
    <x v="1"/>
    <s v="Non-Travel"/>
    <n v="697"/>
    <x v="1"/>
    <n v="10"/>
    <n v="3"/>
    <s v="Medical"/>
    <n v="1979"/>
    <n v="3"/>
    <s v="Female"/>
    <n v="40"/>
    <n v="3"/>
    <n v="3"/>
    <x v="7"/>
    <n v="3"/>
    <s v="Married"/>
    <n v="11031"/>
    <n v="26862"/>
    <n v="4"/>
    <x v="1"/>
    <n v="20"/>
    <n v="4"/>
    <n v="3"/>
    <n v="1"/>
    <n v="13"/>
    <n v="2"/>
    <n v="4"/>
    <n v="11"/>
    <n v="7"/>
    <n v="4"/>
    <n v="8"/>
    <s v="30-39"/>
  </r>
  <r>
    <n v="54"/>
    <x v="1"/>
    <s v="Travel_Rarely"/>
    <n v="157"/>
    <x v="1"/>
    <n v="10"/>
    <n v="3"/>
    <s v="Medical"/>
    <n v="1980"/>
    <n v="3"/>
    <s v="Female"/>
    <n v="77"/>
    <n v="3"/>
    <n v="2"/>
    <x v="3"/>
    <n v="1"/>
    <s v="Single"/>
    <n v="4440"/>
    <n v="25198"/>
    <n v="6"/>
    <x v="0"/>
    <n v="19"/>
    <n v="3"/>
    <n v="4"/>
    <n v="0"/>
    <n v="9"/>
    <n v="3"/>
    <n v="3"/>
    <n v="5"/>
    <n v="2"/>
    <n v="1"/>
    <n v="4"/>
    <s v="50+"/>
  </r>
  <r>
    <n v="24"/>
    <x v="1"/>
    <s v="Travel_Rarely"/>
    <n v="771"/>
    <x v="1"/>
    <n v="1"/>
    <n v="2"/>
    <s v="Life Sciences"/>
    <n v="1981"/>
    <n v="2"/>
    <s v="Male"/>
    <n v="45"/>
    <n v="2"/>
    <n v="2"/>
    <x v="4"/>
    <n v="3"/>
    <s v="Single"/>
    <n v="4617"/>
    <n v="14120"/>
    <n v="1"/>
    <x v="1"/>
    <n v="12"/>
    <n v="3"/>
    <n v="2"/>
    <n v="0"/>
    <n v="4"/>
    <n v="2"/>
    <n v="2"/>
    <n v="4"/>
    <n v="3"/>
    <n v="1"/>
    <n v="2"/>
    <s v="Below 30"/>
  </r>
  <r>
    <n v="23"/>
    <x v="1"/>
    <s v="Travel_Rarely"/>
    <n v="571"/>
    <x v="1"/>
    <n v="12"/>
    <n v="2"/>
    <s v="Other"/>
    <n v="1982"/>
    <n v="4"/>
    <s v="Male"/>
    <n v="78"/>
    <n v="3"/>
    <n v="1"/>
    <x v="2"/>
    <n v="4"/>
    <s v="Single"/>
    <n v="2647"/>
    <n v="13672"/>
    <n v="1"/>
    <x v="1"/>
    <n v="13"/>
    <n v="3"/>
    <n v="3"/>
    <n v="0"/>
    <n v="5"/>
    <n v="6"/>
    <n v="4"/>
    <n v="5"/>
    <n v="2"/>
    <n v="1"/>
    <n v="4"/>
    <s v="Below 30"/>
  </r>
  <r>
    <n v="40"/>
    <x v="1"/>
    <s v="Travel_Frequently"/>
    <n v="692"/>
    <x v="1"/>
    <n v="11"/>
    <n v="3"/>
    <s v="Technical Degree"/>
    <n v="1985"/>
    <n v="4"/>
    <s v="Female"/>
    <n v="73"/>
    <n v="3"/>
    <n v="2"/>
    <x v="2"/>
    <n v="3"/>
    <s v="Married"/>
    <n v="6323"/>
    <n v="26849"/>
    <n v="1"/>
    <x v="1"/>
    <n v="11"/>
    <n v="3"/>
    <n v="1"/>
    <n v="1"/>
    <n v="10"/>
    <n v="2"/>
    <n v="4"/>
    <n v="10"/>
    <n v="9"/>
    <n v="9"/>
    <n v="4"/>
    <s v="40-49"/>
  </r>
  <r>
    <n v="40"/>
    <x v="1"/>
    <s v="Travel_Rarely"/>
    <n v="444"/>
    <x v="0"/>
    <n v="2"/>
    <n v="2"/>
    <s v="Marketing"/>
    <n v="1986"/>
    <n v="2"/>
    <s v="Female"/>
    <n v="92"/>
    <n v="3"/>
    <n v="2"/>
    <x v="0"/>
    <n v="2"/>
    <s v="Married"/>
    <n v="5677"/>
    <n v="4258"/>
    <n v="3"/>
    <x v="1"/>
    <n v="14"/>
    <n v="3"/>
    <n v="3"/>
    <n v="1"/>
    <n v="15"/>
    <n v="4"/>
    <n v="3"/>
    <n v="11"/>
    <n v="8"/>
    <n v="5"/>
    <n v="10"/>
    <s v="40-49"/>
  </r>
  <r>
    <n v="25"/>
    <x v="1"/>
    <s v="Travel_Rarely"/>
    <n v="309"/>
    <x v="2"/>
    <n v="2"/>
    <n v="3"/>
    <s v="Human Resources"/>
    <n v="1987"/>
    <n v="3"/>
    <s v="Female"/>
    <n v="82"/>
    <n v="3"/>
    <n v="1"/>
    <x v="8"/>
    <n v="2"/>
    <s v="Married"/>
    <n v="2187"/>
    <n v="19655"/>
    <n v="4"/>
    <x v="1"/>
    <n v="14"/>
    <n v="3"/>
    <n v="3"/>
    <n v="0"/>
    <n v="6"/>
    <n v="3"/>
    <n v="3"/>
    <n v="2"/>
    <n v="0"/>
    <n v="1"/>
    <n v="2"/>
    <s v="Below 30"/>
  </r>
  <r>
    <n v="30"/>
    <x v="1"/>
    <s v="Travel_Rarely"/>
    <n v="911"/>
    <x v="1"/>
    <n v="1"/>
    <n v="2"/>
    <s v="Medical"/>
    <n v="1989"/>
    <n v="4"/>
    <s v="Male"/>
    <n v="76"/>
    <n v="3"/>
    <n v="1"/>
    <x v="2"/>
    <n v="2"/>
    <s v="Married"/>
    <n v="3748"/>
    <n v="4077"/>
    <n v="1"/>
    <x v="1"/>
    <n v="13"/>
    <n v="3"/>
    <n v="3"/>
    <n v="0"/>
    <n v="12"/>
    <n v="6"/>
    <n v="2"/>
    <n v="12"/>
    <n v="8"/>
    <n v="1"/>
    <n v="7"/>
    <s v="30-39"/>
  </r>
  <r>
    <n v="25"/>
    <x v="1"/>
    <s v="Travel_Rarely"/>
    <n v="977"/>
    <x v="1"/>
    <n v="2"/>
    <n v="1"/>
    <s v="Other"/>
    <n v="1992"/>
    <n v="4"/>
    <s v="Male"/>
    <n v="57"/>
    <n v="3"/>
    <n v="1"/>
    <x v="2"/>
    <n v="3"/>
    <s v="Divorced"/>
    <n v="3977"/>
    <n v="7298"/>
    <n v="6"/>
    <x v="0"/>
    <n v="19"/>
    <n v="3"/>
    <n v="3"/>
    <n v="1"/>
    <n v="7"/>
    <n v="2"/>
    <n v="2"/>
    <n v="2"/>
    <n v="2"/>
    <n v="0"/>
    <n v="2"/>
    <s v="Below 30"/>
  </r>
  <r>
    <n v="47"/>
    <x v="1"/>
    <s v="Travel_Rarely"/>
    <n v="1180"/>
    <x v="1"/>
    <n v="25"/>
    <n v="3"/>
    <s v="Medical"/>
    <n v="1993"/>
    <n v="1"/>
    <s v="Male"/>
    <n v="84"/>
    <n v="3"/>
    <n v="3"/>
    <x v="4"/>
    <n v="3"/>
    <s v="Single"/>
    <n v="8633"/>
    <n v="13084"/>
    <n v="2"/>
    <x v="1"/>
    <n v="23"/>
    <n v="4"/>
    <n v="2"/>
    <n v="0"/>
    <n v="25"/>
    <n v="3"/>
    <n v="3"/>
    <n v="17"/>
    <n v="14"/>
    <n v="12"/>
    <n v="11"/>
    <s v="40-49"/>
  </r>
  <r>
    <n v="33"/>
    <x v="1"/>
    <s v="Non-Travel"/>
    <n v="1313"/>
    <x v="1"/>
    <n v="1"/>
    <n v="2"/>
    <s v="Medical"/>
    <n v="1994"/>
    <n v="2"/>
    <s v="Male"/>
    <n v="59"/>
    <n v="2"/>
    <n v="1"/>
    <x v="2"/>
    <n v="3"/>
    <s v="Divorced"/>
    <n v="2008"/>
    <n v="20439"/>
    <n v="1"/>
    <x v="1"/>
    <n v="12"/>
    <n v="3"/>
    <n v="3"/>
    <n v="3"/>
    <n v="1"/>
    <n v="2"/>
    <n v="2"/>
    <n v="1"/>
    <n v="1"/>
    <n v="0"/>
    <n v="0"/>
    <s v="30-39"/>
  </r>
  <r>
    <n v="38"/>
    <x v="1"/>
    <s v="Travel_Rarely"/>
    <n v="1321"/>
    <x v="0"/>
    <n v="1"/>
    <n v="4"/>
    <s v="Life Sciences"/>
    <n v="1995"/>
    <n v="4"/>
    <s v="Male"/>
    <n v="86"/>
    <n v="3"/>
    <n v="2"/>
    <x v="0"/>
    <n v="2"/>
    <s v="Married"/>
    <n v="4440"/>
    <n v="7636"/>
    <n v="0"/>
    <x v="1"/>
    <n v="15"/>
    <n v="3"/>
    <n v="1"/>
    <n v="2"/>
    <n v="16"/>
    <n v="3"/>
    <n v="3"/>
    <n v="15"/>
    <n v="13"/>
    <n v="5"/>
    <n v="8"/>
    <s v="30-39"/>
  </r>
  <r>
    <n v="31"/>
    <x v="1"/>
    <s v="Travel_Rarely"/>
    <n v="1154"/>
    <x v="0"/>
    <n v="2"/>
    <n v="2"/>
    <s v="Life Sciences"/>
    <n v="1996"/>
    <n v="1"/>
    <s v="Male"/>
    <n v="54"/>
    <n v="3"/>
    <n v="1"/>
    <x v="6"/>
    <n v="3"/>
    <s v="Married"/>
    <n v="3067"/>
    <n v="6393"/>
    <n v="0"/>
    <x v="1"/>
    <n v="19"/>
    <n v="3"/>
    <n v="3"/>
    <n v="1"/>
    <n v="3"/>
    <n v="1"/>
    <n v="3"/>
    <n v="2"/>
    <n v="2"/>
    <n v="1"/>
    <n v="2"/>
    <s v="30-39"/>
  </r>
  <r>
    <n v="38"/>
    <x v="1"/>
    <s v="Travel_Frequently"/>
    <n v="508"/>
    <x v="1"/>
    <n v="6"/>
    <n v="4"/>
    <s v="Life Sciences"/>
    <n v="1997"/>
    <n v="1"/>
    <s v="Male"/>
    <n v="72"/>
    <n v="2"/>
    <n v="2"/>
    <x v="3"/>
    <n v="3"/>
    <s v="Married"/>
    <n v="5321"/>
    <n v="14284"/>
    <n v="2"/>
    <x v="1"/>
    <n v="11"/>
    <n v="3"/>
    <n v="4"/>
    <n v="1"/>
    <n v="10"/>
    <n v="1"/>
    <n v="3"/>
    <n v="8"/>
    <n v="3"/>
    <n v="7"/>
    <n v="7"/>
    <s v="30-39"/>
  </r>
  <r>
    <n v="42"/>
    <x v="1"/>
    <s v="Travel_Rarely"/>
    <n v="557"/>
    <x v="1"/>
    <n v="18"/>
    <n v="4"/>
    <s v="Life Sciences"/>
    <n v="1998"/>
    <n v="4"/>
    <s v="Male"/>
    <n v="35"/>
    <n v="3"/>
    <n v="2"/>
    <x v="1"/>
    <n v="1"/>
    <s v="Divorced"/>
    <n v="5410"/>
    <n v="11189"/>
    <n v="6"/>
    <x v="0"/>
    <n v="17"/>
    <n v="3"/>
    <n v="3"/>
    <n v="1"/>
    <n v="9"/>
    <n v="3"/>
    <n v="2"/>
    <n v="4"/>
    <n v="3"/>
    <n v="1"/>
    <n v="2"/>
    <s v="40-49"/>
  </r>
  <r>
    <n v="41"/>
    <x v="1"/>
    <s v="Travel_Rarely"/>
    <n v="642"/>
    <x v="1"/>
    <n v="1"/>
    <n v="3"/>
    <s v="Life Sciences"/>
    <n v="1999"/>
    <n v="4"/>
    <s v="Male"/>
    <n v="76"/>
    <n v="3"/>
    <n v="1"/>
    <x v="1"/>
    <n v="4"/>
    <s v="Married"/>
    <n v="2782"/>
    <n v="21412"/>
    <n v="3"/>
    <x v="1"/>
    <n v="22"/>
    <n v="4"/>
    <n v="1"/>
    <n v="1"/>
    <n v="12"/>
    <n v="3"/>
    <n v="3"/>
    <n v="5"/>
    <n v="3"/>
    <n v="1"/>
    <n v="0"/>
    <s v="40-49"/>
  </r>
  <r>
    <n v="47"/>
    <x v="1"/>
    <s v="Non-Travel"/>
    <n v="1162"/>
    <x v="1"/>
    <n v="1"/>
    <n v="1"/>
    <s v="Medical"/>
    <n v="2000"/>
    <n v="3"/>
    <s v="Female"/>
    <n v="98"/>
    <n v="3"/>
    <n v="3"/>
    <x v="7"/>
    <n v="2"/>
    <s v="Married"/>
    <n v="11957"/>
    <n v="17231"/>
    <n v="0"/>
    <x v="1"/>
    <n v="18"/>
    <n v="3"/>
    <n v="1"/>
    <n v="2"/>
    <n v="14"/>
    <n v="3"/>
    <n v="1"/>
    <n v="13"/>
    <n v="8"/>
    <n v="5"/>
    <n v="12"/>
    <s v="40-49"/>
  </r>
  <r>
    <n v="35"/>
    <x v="1"/>
    <s v="Travel_Rarely"/>
    <n v="1490"/>
    <x v="1"/>
    <n v="11"/>
    <n v="4"/>
    <s v="Medical"/>
    <n v="2003"/>
    <n v="4"/>
    <s v="Male"/>
    <n v="43"/>
    <n v="3"/>
    <n v="1"/>
    <x v="2"/>
    <n v="3"/>
    <s v="Married"/>
    <n v="2660"/>
    <n v="20232"/>
    <n v="7"/>
    <x v="0"/>
    <n v="11"/>
    <n v="3"/>
    <n v="3"/>
    <n v="1"/>
    <n v="5"/>
    <n v="3"/>
    <n v="3"/>
    <n v="2"/>
    <n v="2"/>
    <n v="2"/>
    <n v="2"/>
    <s v="30-39"/>
  </r>
  <r>
    <n v="22"/>
    <x v="1"/>
    <s v="Travel_Rarely"/>
    <n v="581"/>
    <x v="1"/>
    <n v="1"/>
    <n v="2"/>
    <s v="Life Sciences"/>
    <n v="2007"/>
    <n v="4"/>
    <s v="Male"/>
    <n v="63"/>
    <n v="3"/>
    <n v="1"/>
    <x v="1"/>
    <n v="3"/>
    <s v="Single"/>
    <n v="3375"/>
    <n v="17624"/>
    <n v="0"/>
    <x v="1"/>
    <n v="12"/>
    <n v="3"/>
    <n v="4"/>
    <n v="0"/>
    <n v="4"/>
    <n v="2"/>
    <n v="4"/>
    <n v="3"/>
    <n v="2"/>
    <n v="1"/>
    <n v="2"/>
    <s v="Below 30"/>
  </r>
  <r>
    <n v="35"/>
    <x v="1"/>
    <s v="Travel_Rarely"/>
    <n v="1395"/>
    <x v="1"/>
    <n v="9"/>
    <n v="4"/>
    <s v="Medical"/>
    <n v="2008"/>
    <n v="2"/>
    <s v="Male"/>
    <n v="48"/>
    <n v="3"/>
    <n v="2"/>
    <x v="1"/>
    <n v="3"/>
    <s v="Single"/>
    <n v="5098"/>
    <n v="18698"/>
    <n v="1"/>
    <x v="1"/>
    <n v="19"/>
    <n v="3"/>
    <n v="2"/>
    <n v="0"/>
    <n v="10"/>
    <n v="5"/>
    <n v="3"/>
    <n v="10"/>
    <n v="7"/>
    <n v="0"/>
    <n v="8"/>
    <s v="30-39"/>
  </r>
  <r>
    <n v="33"/>
    <x v="1"/>
    <s v="Travel_Rarely"/>
    <n v="501"/>
    <x v="1"/>
    <n v="15"/>
    <n v="2"/>
    <s v="Medical"/>
    <n v="2009"/>
    <n v="2"/>
    <s v="Female"/>
    <n v="95"/>
    <n v="3"/>
    <n v="2"/>
    <x v="4"/>
    <n v="4"/>
    <s v="Married"/>
    <n v="4878"/>
    <n v="21653"/>
    <n v="0"/>
    <x v="0"/>
    <n v="13"/>
    <n v="3"/>
    <n v="1"/>
    <n v="1"/>
    <n v="10"/>
    <n v="6"/>
    <n v="3"/>
    <n v="9"/>
    <n v="7"/>
    <n v="8"/>
    <n v="1"/>
    <s v="30-39"/>
  </r>
  <r>
    <n v="32"/>
    <x v="1"/>
    <s v="Travel_Rarely"/>
    <n v="267"/>
    <x v="1"/>
    <n v="29"/>
    <n v="4"/>
    <s v="Life Sciences"/>
    <n v="2010"/>
    <n v="3"/>
    <s v="Female"/>
    <n v="49"/>
    <n v="2"/>
    <n v="1"/>
    <x v="2"/>
    <n v="2"/>
    <s v="Single"/>
    <n v="2837"/>
    <n v="15919"/>
    <n v="1"/>
    <x v="1"/>
    <n v="13"/>
    <n v="3"/>
    <n v="3"/>
    <n v="0"/>
    <n v="6"/>
    <n v="3"/>
    <n v="3"/>
    <n v="6"/>
    <n v="2"/>
    <n v="4"/>
    <n v="1"/>
    <s v="30-39"/>
  </r>
  <r>
    <n v="40"/>
    <x v="1"/>
    <s v="Travel_Rarely"/>
    <n v="543"/>
    <x v="1"/>
    <n v="1"/>
    <n v="4"/>
    <s v="Life Sciences"/>
    <n v="2012"/>
    <n v="1"/>
    <s v="Male"/>
    <n v="83"/>
    <n v="3"/>
    <n v="1"/>
    <x v="2"/>
    <n v="4"/>
    <s v="Married"/>
    <n v="2406"/>
    <n v="4060"/>
    <n v="8"/>
    <x v="1"/>
    <n v="19"/>
    <n v="3"/>
    <n v="3"/>
    <n v="2"/>
    <n v="8"/>
    <n v="3"/>
    <n v="2"/>
    <n v="1"/>
    <n v="0"/>
    <n v="0"/>
    <n v="0"/>
    <s v="40-49"/>
  </r>
  <r>
    <n v="32"/>
    <x v="1"/>
    <s v="Travel_Rarely"/>
    <n v="234"/>
    <x v="0"/>
    <n v="1"/>
    <n v="4"/>
    <s v="Medical"/>
    <n v="2013"/>
    <n v="2"/>
    <s v="Male"/>
    <n v="68"/>
    <n v="2"/>
    <n v="1"/>
    <x v="6"/>
    <n v="2"/>
    <s v="Married"/>
    <n v="2269"/>
    <n v="18024"/>
    <n v="0"/>
    <x v="1"/>
    <n v="14"/>
    <n v="3"/>
    <n v="2"/>
    <n v="1"/>
    <n v="3"/>
    <n v="2"/>
    <n v="3"/>
    <n v="2"/>
    <n v="2"/>
    <n v="2"/>
    <n v="2"/>
    <s v="30-39"/>
  </r>
  <r>
    <n v="39"/>
    <x v="1"/>
    <s v="Travel_Rarely"/>
    <n v="116"/>
    <x v="1"/>
    <n v="24"/>
    <n v="1"/>
    <s v="Life Sciences"/>
    <n v="2014"/>
    <n v="1"/>
    <s v="Male"/>
    <n v="52"/>
    <n v="3"/>
    <n v="2"/>
    <x v="1"/>
    <n v="4"/>
    <s v="Single"/>
    <n v="4108"/>
    <n v="5340"/>
    <n v="7"/>
    <x v="1"/>
    <n v="13"/>
    <n v="3"/>
    <n v="1"/>
    <n v="0"/>
    <n v="18"/>
    <n v="2"/>
    <n v="3"/>
    <n v="7"/>
    <n v="7"/>
    <n v="1"/>
    <n v="7"/>
    <s v="30-39"/>
  </r>
  <r>
    <n v="38"/>
    <x v="1"/>
    <s v="Travel_Rarely"/>
    <n v="201"/>
    <x v="1"/>
    <n v="10"/>
    <n v="3"/>
    <s v="Medical"/>
    <n v="2015"/>
    <n v="2"/>
    <s v="Female"/>
    <n v="99"/>
    <n v="1"/>
    <n v="3"/>
    <x v="7"/>
    <n v="3"/>
    <s v="Married"/>
    <n v="13206"/>
    <n v="3376"/>
    <n v="3"/>
    <x v="1"/>
    <n v="12"/>
    <n v="3"/>
    <n v="1"/>
    <n v="1"/>
    <n v="20"/>
    <n v="3"/>
    <n v="3"/>
    <n v="18"/>
    <n v="16"/>
    <n v="1"/>
    <n v="11"/>
    <s v="30-39"/>
  </r>
  <r>
    <n v="32"/>
    <x v="1"/>
    <s v="Travel_Rarely"/>
    <n v="801"/>
    <x v="0"/>
    <n v="1"/>
    <n v="4"/>
    <s v="Marketing"/>
    <n v="2016"/>
    <n v="3"/>
    <s v="Female"/>
    <n v="48"/>
    <n v="3"/>
    <n v="3"/>
    <x v="0"/>
    <n v="4"/>
    <s v="Married"/>
    <n v="10422"/>
    <n v="24032"/>
    <n v="1"/>
    <x v="1"/>
    <n v="19"/>
    <n v="3"/>
    <n v="3"/>
    <n v="2"/>
    <n v="14"/>
    <n v="3"/>
    <n v="3"/>
    <n v="14"/>
    <n v="10"/>
    <n v="5"/>
    <n v="7"/>
    <s v="30-39"/>
  </r>
  <r>
    <n v="37"/>
    <x v="1"/>
    <s v="Travel_Rarely"/>
    <n v="161"/>
    <x v="1"/>
    <n v="10"/>
    <n v="3"/>
    <s v="Life Sciences"/>
    <n v="2017"/>
    <n v="3"/>
    <s v="Female"/>
    <n v="42"/>
    <n v="4"/>
    <n v="3"/>
    <x v="7"/>
    <n v="4"/>
    <s v="Married"/>
    <n v="13744"/>
    <n v="15471"/>
    <n v="1"/>
    <x v="0"/>
    <n v="25"/>
    <n v="4"/>
    <n v="1"/>
    <n v="1"/>
    <n v="16"/>
    <n v="2"/>
    <n v="3"/>
    <n v="16"/>
    <n v="11"/>
    <n v="6"/>
    <n v="8"/>
    <s v="30-39"/>
  </r>
  <r>
    <n v="25"/>
    <x v="1"/>
    <s v="Travel_Rarely"/>
    <n v="1382"/>
    <x v="0"/>
    <n v="8"/>
    <n v="2"/>
    <s v="Other"/>
    <n v="2018"/>
    <n v="1"/>
    <s v="Female"/>
    <n v="85"/>
    <n v="3"/>
    <n v="2"/>
    <x v="0"/>
    <n v="3"/>
    <s v="Divorced"/>
    <n v="4907"/>
    <n v="13684"/>
    <n v="0"/>
    <x v="0"/>
    <n v="22"/>
    <n v="4"/>
    <n v="2"/>
    <n v="1"/>
    <n v="6"/>
    <n v="3"/>
    <n v="2"/>
    <n v="5"/>
    <n v="3"/>
    <n v="0"/>
    <n v="4"/>
    <s v="Below 30"/>
  </r>
  <r>
    <n v="52"/>
    <x v="1"/>
    <s v="Non-Travel"/>
    <n v="585"/>
    <x v="0"/>
    <n v="29"/>
    <n v="4"/>
    <s v="Life Sciences"/>
    <n v="2019"/>
    <n v="1"/>
    <s v="Male"/>
    <n v="40"/>
    <n v="3"/>
    <n v="1"/>
    <x v="6"/>
    <n v="4"/>
    <s v="Divorced"/>
    <n v="3482"/>
    <n v="19788"/>
    <n v="2"/>
    <x v="1"/>
    <n v="15"/>
    <n v="3"/>
    <n v="2"/>
    <n v="2"/>
    <n v="16"/>
    <n v="3"/>
    <n v="2"/>
    <n v="9"/>
    <n v="8"/>
    <n v="0"/>
    <n v="0"/>
    <s v="50+"/>
  </r>
  <r>
    <n v="44"/>
    <x v="1"/>
    <s v="Travel_Rarely"/>
    <n v="1037"/>
    <x v="1"/>
    <n v="1"/>
    <n v="3"/>
    <s v="Medical"/>
    <n v="2020"/>
    <n v="2"/>
    <s v="Male"/>
    <n v="42"/>
    <n v="3"/>
    <n v="1"/>
    <x v="1"/>
    <n v="4"/>
    <s v="Single"/>
    <n v="2436"/>
    <n v="13422"/>
    <n v="6"/>
    <x v="0"/>
    <n v="12"/>
    <n v="3"/>
    <n v="3"/>
    <n v="0"/>
    <n v="6"/>
    <n v="2"/>
    <n v="3"/>
    <n v="4"/>
    <n v="3"/>
    <n v="1"/>
    <n v="2"/>
    <s v="40-49"/>
  </r>
  <r>
    <n v="21"/>
    <x v="1"/>
    <s v="Travel_Rarely"/>
    <n v="501"/>
    <x v="0"/>
    <n v="5"/>
    <n v="1"/>
    <s v="Medical"/>
    <n v="2021"/>
    <n v="3"/>
    <s v="Male"/>
    <n v="58"/>
    <n v="3"/>
    <n v="1"/>
    <x v="6"/>
    <n v="1"/>
    <s v="Single"/>
    <n v="2380"/>
    <n v="25479"/>
    <n v="1"/>
    <x v="0"/>
    <n v="11"/>
    <n v="3"/>
    <n v="4"/>
    <n v="0"/>
    <n v="2"/>
    <n v="6"/>
    <n v="3"/>
    <n v="2"/>
    <n v="2"/>
    <n v="1"/>
    <n v="2"/>
    <s v="Below 30"/>
  </r>
  <r>
    <n v="39"/>
    <x v="1"/>
    <s v="Non-Travel"/>
    <n v="105"/>
    <x v="1"/>
    <n v="9"/>
    <n v="3"/>
    <s v="Life Sciences"/>
    <n v="2022"/>
    <n v="4"/>
    <s v="Male"/>
    <n v="87"/>
    <n v="3"/>
    <n v="5"/>
    <x v="5"/>
    <n v="4"/>
    <s v="Single"/>
    <n v="19431"/>
    <n v="15302"/>
    <n v="2"/>
    <x v="1"/>
    <n v="13"/>
    <n v="3"/>
    <n v="3"/>
    <n v="0"/>
    <n v="21"/>
    <n v="3"/>
    <n v="2"/>
    <n v="6"/>
    <n v="0"/>
    <n v="1"/>
    <n v="3"/>
    <s v="30-39"/>
  </r>
  <r>
    <n v="23"/>
    <x v="0"/>
    <s v="Travel_Frequently"/>
    <n v="638"/>
    <x v="0"/>
    <n v="9"/>
    <n v="3"/>
    <s v="Marketing"/>
    <n v="2023"/>
    <n v="4"/>
    <s v="Male"/>
    <n v="33"/>
    <n v="3"/>
    <n v="1"/>
    <x v="6"/>
    <n v="1"/>
    <s v="Married"/>
    <n v="1790"/>
    <n v="26956"/>
    <n v="1"/>
    <x v="1"/>
    <n v="19"/>
    <n v="3"/>
    <n v="1"/>
    <n v="1"/>
    <n v="1"/>
    <n v="3"/>
    <n v="2"/>
    <n v="1"/>
    <n v="0"/>
    <n v="1"/>
    <n v="0"/>
    <s v="Below 30"/>
  </r>
  <r>
    <n v="36"/>
    <x v="1"/>
    <s v="Travel_Rarely"/>
    <n v="557"/>
    <x v="0"/>
    <n v="3"/>
    <n v="3"/>
    <s v="Medical"/>
    <n v="2024"/>
    <n v="1"/>
    <s v="Female"/>
    <n v="94"/>
    <n v="2"/>
    <n v="3"/>
    <x v="0"/>
    <n v="4"/>
    <s v="Married"/>
    <n v="7644"/>
    <n v="12695"/>
    <n v="0"/>
    <x v="1"/>
    <n v="19"/>
    <n v="3"/>
    <n v="3"/>
    <n v="2"/>
    <n v="10"/>
    <n v="2"/>
    <n v="3"/>
    <n v="9"/>
    <n v="7"/>
    <n v="3"/>
    <n v="4"/>
    <s v="30-39"/>
  </r>
  <r>
    <n v="36"/>
    <x v="1"/>
    <s v="Travel_Frequently"/>
    <n v="688"/>
    <x v="1"/>
    <n v="4"/>
    <n v="2"/>
    <s v="Life Sciences"/>
    <n v="2025"/>
    <n v="4"/>
    <s v="Female"/>
    <n v="97"/>
    <n v="3"/>
    <n v="2"/>
    <x v="3"/>
    <n v="2"/>
    <s v="Divorced"/>
    <n v="5131"/>
    <n v="9192"/>
    <n v="7"/>
    <x v="1"/>
    <n v="13"/>
    <n v="3"/>
    <n v="2"/>
    <n v="3"/>
    <n v="18"/>
    <n v="3"/>
    <n v="3"/>
    <n v="4"/>
    <n v="2"/>
    <n v="0"/>
    <n v="2"/>
    <s v="30-39"/>
  </r>
  <r>
    <n v="56"/>
    <x v="1"/>
    <s v="Non-Travel"/>
    <n v="667"/>
    <x v="1"/>
    <n v="1"/>
    <n v="4"/>
    <s v="Life Sciences"/>
    <n v="2026"/>
    <n v="3"/>
    <s v="Male"/>
    <n v="57"/>
    <n v="3"/>
    <n v="2"/>
    <x v="4"/>
    <n v="3"/>
    <s v="Divorced"/>
    <n v="6306"/>
    <n v="26236"/>
    <n v="1"/>
    <x v="1"/>
    <n v="21"/>
    <n v="4"/>
    <n v="1"/>
    <n v="1"/>
    <n v="13"/>
    <n v="2"/>
    <n v="2"/>
    <n v="13"/>
    <n v="12"/>
    <n v="1"/>
    <n v="9"/>
    <s v="50+"/>
  </r>
  <r>
    <n v="29"/>
    <x v="0"/>
    <s v="Travel_Rarely"/>
    <n v="1092"/>
    <x v="1"/>
    <n v="1"/>
    <n v="4"/>
    <s v="Medical"/>
    <n v="2027"/>
    <n v="1"/>
    <s v="Male"/>
    <n v="36"/>
    <n v="3"/>
    <n v="1"/>
    <x v="1"/>
    <n v="4"/>
    <s v="Married"/>
    <n v="4787"/>
    <n v="26124"/>
    <n v="9"/>
    <x v="0"/>
    <n v="14"/>
    <n v="3"/>
    <n v="2"/>
    <n v="3"/>
    <n v="4"/>
    <n v="3"/>
    <n v="4"/>
    <n v="2"/>
    <n v="2"/>
    <n v="2"/>
    <n v="2"/>
    <s v="Below 30"/>
  </r>
  <r>
    <n v="42"/>
    <x v="1"/>
    <s v="Travel_Rarely"/>
    <n v="300"/>
    <x v="1"/>
    <n v="2"/>
    <n v="3"/>
    <s v="Life Sciences"/>
    <n v="2031"/>
    <n v="1"/>
    <s v="Male"/>
    <n v="56"/>
    <n v="3"/>
    <n v="5"/>
    <x v="5"/>
    <n v="3"/>
    <s v="Married"/>
    <n v="18880"/>
    <n v="17312"/>
    <n v="5"/>
    <x v="1"/>
    <n v="11"/>
    <n v="3"/>
    <n v="1"/>
    <n v="0"/>
    <n v="24"/>
    <n v="2"/>
    <n v="2"/>
    <n v="22"/>
    <n v="6"/>
    <n v="4"/>
    <n v="14"/>
    <s v="40-49"/>
  </r>
  <r>
    <n v="56"/>
    <x v="0"/>
    <s v="Travel_Rarely"/>
    <n v="310"/>
    <x v="1"/>
    <n v="7"/>
    <n v="2"/>
    <s v="Technical Degree"/>
    <n v="2032"/>
    <n v="4"/>
    <s v="Male"/>
    <n v="72"/>
    <n v="3"/>
    <n v="1"/>
    <x v="2"/>
    <n v="3"/>
    <s v="Married"/>
    <n v="2339"/>
    <n v="3666"/>
    <n v="8"/>
    <x v="1"/>
    <n v="11"/>
    <n v="3"/>
    <n v="4"/>
    <n v="1"/>
    <n v="14"/>
    <n v="4"/>
    <n v="1"/>
    <n v="10"/>
    <n v="9"/>
    <n v="9"/>
    <n v="8"/>
    <s v="50+"/>
  </r>
  <r>
    <n v="41"/>
    <x v="1"/>
    <s v="Travel_Rarely"/>
    <n v="582"/>
    <x v="1"/>
    <n v="28"/>
    <n v="4"/>
    <s v="Life Sciences"/>
    <n v="2034"/>
    <n v="1"/>
    <s v="Female"/>
    <n v="60"/>
    <n v="2"/>
    <n v="4"/>
    <x v="3"/>
    <n v="2"/>
    <s v="Married"/>
    <n v="13570"/>
    <n v="5640"/>
    <n v="0"/>
    <x v="1"/>
    <n v="23"/>
    <n v="4"/>
    <n v="3"/>
    <n v="1"/>
    <n v="21"/>
    <n v="3"/>
    <n v="3"/>
    <n v="20"/>
    <n v="7"/>
    <n v="0"/>
    <n v="10"/>
    <s v="40-49"/>
  </r>
  <r>
    <n v="34"/>
    <x v="1"/>
    <s v="Travel_Rarely"/>
    <n v="704"/>
    <x v="0"/>
    <n v="28"/>
    <n v="3"/>
    <s v="Marketing"/>
    <n v="2035"/>
    <n v="4"/>
    <s v="Female"/>
    <n v="95"/>
    <n v="2"/>
    <n v="2"/>
    <x v="0"/>
    <n v="3"/>
    <s v="Married"/>
    <n v="6712"/>
    <n v="8978"/>
    <n v="1"/>
    <x v="1"/>
    <n v="21"/>
    <n v="4"/>
    <n v="4"/>
    <n v="2"/>
    <n v="8"/>
    <n v="2"/>
    <n v="3"/>
    <n v="8"/>
    <n v="7"/>
    <n v="1"/>
    <n v="7"/>
    <s v="30-39"/>
  </r>
  <r>
    <n v="36"/>
    <x v="1"/>
    <s v="Non-Travel"/>
    <n v="301"/>
    <x v="0"/>
    <n v="15"/>
    <n v="4"/>
    <s v="Marketing"/>
    <n v="2036"/>
    <n v="4"/>
    <s v="Male"/>
    <n v="88"/>
    <n v="1"/>
    <n v="2"/>
    <x v="0"/>
    <n v="4"/>
    <s v="Divorced"/>
    <n v="5406"/>
    <n v="10436"/>
    <n v="1"/>
    <x v="1"/>
    <n v="24"/>
    <n v="4"/>
    <n v="1"/>
    <n v="1"/>
    <n v="15"/>
    <n v="4"/>
    <n v="2"/>
    <n v="15"/>
    <n v="12"/>
    <n v="11"/>
    <n v="11"/>
    <s v="30-39"/>
  </r>
  <r>
    <n v="41"/>
    <x v="1"/>
    <s v="Travel_Rarely"/>
    <n v="930"/>
    <x v="0"/>
    <n v="3"/>
    <n v="3"/>
    <s v="Life Sciences"/>
    <n v="2037"/>
    <n v="3"/>
    <s v="Male"/>
    <n v="57"/>
    <n v="2"/>
    <n v="2"/>
    <x v="0"/>
    <n v="2"/>
    <s v="Divorced"/>
    <n v="8938"/>
    <n v="12227"/>
    <n v="2"/>
    <x v="1"/>
    <n v="11"/>
    <n v="3"/>
    <n v="3"/>
    <n v="1"/>
    <n v="14"/>
    <n v="5"/>
    <n v="3"/>
    <n v="5"/>
    <n v="4"/>
    <n v="0"/>
    <n v="4"/>
    <s v="40-49"/>
  </r>
  <r>
    <n v="32"/>
    <x v="1"/>
    <s v="Travel_Rarely"/>
    <n v="529"/>
    <x v="1"/>
    <n v="2"/>
    <n v="3"/>
    <s v="Technical Degree"/>
    <n v="2038"/>
    <n v="4"/>
    <s v="Male"/>
    <n v="78"/>
    <n v="3"/>
    <n v="1"/>
    <x v="1"/>
    <n v="1"/>
    <s v="Single"/>
    <n v="2439"/>
    <n v="11288"/>
    <n v="1"/>
    <x v="1"/>
    <n v="14"/>
    <n v="3"/>
    <n v="4"/>
    <n v="0"/>
    <n v="4"/>
    <n v="4"/>
    <n v="3"/>
    <n v="4"/>
    <n v="2"/>
    <n v="1"/>
    <n v="2"/>
    <s v="30-39"/>
  </r>
  <r>
    <n v="35"/>
    <x v="1"/>
    <s v="Travel_Rarely"/>
    <n v="1146"/>
    <x v="2"/>
    <n v="26"/>
    <n v="4"/>
    <s v="Life Sciences"/>
    <n v="2040"/>
    <n v="3"/>
    <s v="Female"/>
    <n v="31"/>
    <n v="3"/>
    <n v="3"/>
    <x v="8"/>
    <n v="4"/>
    <s v="Single"/>
    <n v="8837"/>
    <n v="16642"/>
    <n v="1"/>
    <x v="0"/>
    <n v="16"/>
    <n v="3"/>
    <n v="3"/>
    <n v="0"/>
    <n v="9"/>
    <n v="2"/>
    <n v="3"/>
    <n v="9"/>
    <n v="0"/>
    <n v="1"/>
    <n v="7"/>
    <s v="30-39"/>
  </r>
  <r>
    <n v="38"/>
    <x v="1"/>
    <s v="Travel_Rarely"/>
    <n v="345"/>
    <x v="0"/>
    <n v="10"/>
    <n v="2"/>
    <s v="Life Sciences"/>
    <n v="2041"/>
    <n v="1"/>
    <s v="Female"/>
    <n v="100"/>
    <n v="3"/>
    <n v="2"/>
    <x v="0"/>
    <n v="4"/>
    <s v="Married"/>
    <n v="5343"/>
    <n v="5982"/>
    <n v="1"/>
    <x v="1"/>
    <n v="11"/>
    <n v="3"/>
    <n v="3"/>
    <n v="1"/>
    <n v="10"/>
    <n v="1"/>
    <n v="3"/>
    <n v="10"/>
    <n v="7"/>
    <n v="1"/>
    <n v="9"/>
    <s v="30-39"/>
  </r>
  <r>
    <n v="50"/>
    <x v="0"/>
    <s v="Travel_Frequently"/>
    <n v="878"/>
    <x v="0"/>
    <n v="1"/>
    <n v="4"/>
    <s v="Life Sciences"/>
    <n v="2044"/>
    <n v="2"/>
    <s v="Male"/>
    <n v="94"/>
    <n v="3"/>
    <n v="2"/>
    <x v="0"/>
    <n v="3"/>
    <s v="Divorced"/>
    <n v="6728"/>
    <n v="14255"/>
    <n v="7"/>
    <x v="1"/>
    <n v="12"/>
    <n v="3"/>
    <n v="4"/>
    <n v="2"/>
    <n v="12"/>
    <n v="3"/>
    <n v="3"/>
    <n v="6"/>
    <n v="3"/>
    <n v="0"/>
    <n v="1"/>
    <s v="50+"/>
  </r>
  <r>
    <n v="36"/>
    <x v="1"/>
    <s v="Travel_Rarely"/>
    <n v="1120"/>
    <x v="0"/>
    <n v="11"/>
    <n v="4"/>
    <s v="Marketing"/>
    <n v="2045"/>
    <n v="2"/>
    <s v="Female"/>
    <n v="100"/>
    <n v="2"/>
    <n v="2"/>
    <x v="0"/>
    <n v="4"/>
    <s v="Married"/>
    <n v="6652"/>
    <n v="14369"/>
    <n v="4"/>
    <x v="1"/>
    <n v="13"/>
    <n v="3"/>
    <n v="1"/>
    <n v="1"/>
    <n v="8"/>
    <n v="2"/>
    <n v="2"/>
    <n v="6"/>
    <n v="3"/>
    <n v="0"/>
    <n v="0"/>
    <s v="30-39"/>
  </r>
  <r>
    <n v="45"/>
    <x v="1"/>
    <s v="Travel_Rarely"/>
    <n v="374"/>
    <x v="0"/>
    <n v="20"/>
    <n v="3"/>
    <s v="Life Sciences"/>
    <n v="2046"/>
    <n v="4"/>
    <s v="Female"/>
    <n v="50"/>
    <n v="3"/>
    <n v="2"/>
    <x v="0"/>
    <n v="3"/>
    <s v="Single"/>
    <n v="4850"/>
    <n v="23333"/>
    <n v="8"/>
    <x v="1"/>
    <n v="15"/>
    <n v="3"/>
    <n v="3"/>
    <n v="0"/>
    <n v="8"/>
    <n v="3"/>
    <n v="3"/>
    <n v="5"/>
    <n v="3"/>
    <n v="0"/>
    <n v="1"/>
    <s v="40-49"/>
  </r>
  <r>
    <n v="40"/>
    <x v="1"/>
    <s v="Travel_Rarely"/>
    <n v="1322"/>
    <x v="1"/>
    <n v="2"/>
    <n v="4"/>
    <s v="Life Sciences"/>
    <n v="2048"/>
    <n v="3"/>
    <s v="Male"/>
    <n v="52"/>
    <n v="2"/>
    <n v="1"/>
    <x v="1"/>
    <n v="3"/>
    <s v="Single"/>
    <n v="2809"/>
    <n v="2725"/>
    <n v="2"/>
    <x v="1"/>
    <n v="14"/>
    <n v="3"/>
    <n v="4"/>
    <n v="0"/>
    <n v="8"/>
    <n v="2"/>
    <n v="3"/>
    <n v="2"/>
    <n v="2"/>
    <n v="2"/>
    <n v="2"/>
    <s v="40-49"/>
  </r>
  <r>
    <n v="35"/>
    <x v="1"/>
    <s v="Travel_Frequently"/>
    <n v="1199"/>
    <x v="1"/>
    <n v="18"/>
    <n v="4"/>
    <s v="Life Sciences"/>
    <n v="2049"/>
    <n v="3"/>
    <s v="Male"/>
    <n v="80"/>
    <n v="3"/>
    <n v="2"/>
    <x v="4"/>
    <n v="3"/>
    <s v="Married"/>
    <n v="5689"/>
    <n v="24594"/>
    <n v="1"/>
    <x v="0"/>
    <n v="14"/>
    <n v="3"/>
    <n v="4"/>
    <n v="2"/>
    <n v="10"/>
    <n v="2"/>
    <n v="4"/>
    <n v="10"/>
    <n v="2"/>
    <n v="0"/>
    <n v="2"/>
    <s v="30-39"/>
  </r>
  <r>
    <n v="40"/>
    <x v="1"/>
    <s v="Travel_Rarely"/>
    <n v="1194"/>
    <x v="1"/>
    <n v="2"/>
    <n v="4"/>
    <s v="Medical"/>
    <n v="2051"/>
    <n v="3"/>
    <s v="Female"/>
    <n v="98"/>
    <n v="3"/>
    <n v="1"/>
    <x v="1"/>
    <n v="3"/>
    <s v="Married"/>
    <n v="2001"/>
    <n v="12549"/>
    <n v="2"/>
    <x v="1"/>
    <n v="14"/>
    <n v="3"/>
    <n v="2"/>
    <n v="3"/>
    <n v="20"/>
    <n v="2"/>
    <n v="3"/>
    <n v="5"/>
    <n v="3"/>
    <n v="0"/>
    <n v="2"/>
    <s v="40-49"/>
  </r>
  <r>
    <n v="35"/>
    <x v="1"/>
    <s v="Travel_Rarely"/>
    <n v="287"/>
    <x v="1"/>
    <n v="1"/>
    <n v="4"/>
    <s v="Life Sciences"/>
    <n v="2052"/>
    <n v="3"/>
    <s v="Female"/>
    <n v="62"/>
    <n v="1"/>
    <n v="1"/>
    <x v="1"/>
    <n v="4"/>
    <s v="Married"/>
    <n v="2977"/>
    <n v="8952"/>
    <n v="1"/>
    <x v="1"/>
    <n v="12"/>
    <n v="3"/>
    <n v="4"/>
    <n v="1"/>
    <n v="4"/>
    <n v="5"/>
    <n v="3"/>
    <n v="4"/>
    <n v="3"/>
    <n v="1"/>
    <n v="1"/>
    <s v="30-39"/>
  </r>
  <r>
    <n v="29"/>
    <x v="1"/>
    <s v="Travel_Rarely"/>
    <n v="1378"/>
    <x v="1"/>
    <n v="13"/>
    <n v="2"/>
    <s v="Other"/>
    <n v="2053"/>
    <n v="4"/>
    <s v="Male"/>
    <n v="46"/>
    <n v="2"/>
    <n v="2"/>
    <x v="2"/>
    <n v="2"/>
    <s v="Married"/>
    <n v="4025"/>
    <n v="23679"/>
    <n v="4"/>
    <x v="0"/>
    <n v="13"/>
    <n v="3"/>
    <n v="1"/>
    <n v="1"/>
    <n v="10"/>
    <n v="2"/>
    <n v="3"/>
    <n v="4"/>
    <n v="3"/>
    <n v="0"/>
    <n v="3"/>
    <s v="Below 30"/>
  </r>
  <r>
    <n v="29"/>
    <x v="1"/>
    <s v="Travel_Rarely"/>
    <n v="468"/>
    <x v="1"/>
    <n v="28"/>
    <n v="4"/>
    <s v="Medical"/>
    <n v="2054"/>
    <n v="4"/>
    <s v="Female"/>
    <n v="73"/>
    <n v="2"/>
    <n v="1"/>
    <x v="1"/>
    <n v="1"/>
    <s v="Single"/>
    <n v="3785"/>
    <n v="8489"/>
    <n v="1"/>
    <x v="1"/>
    <n v="14"/>
    <n v="3"/>
    <n v="2"/>
    <n v="0"/>
    <n v="5"/>
    <n v="3"/>
    <n v="1"/>
    <n v="5"/>
    <n v="4"/>
    <n v="0"/>
    <n v="4"/>
    <s v="Below 30"/>
  </r>
  <r>
    <n v="50"/>
    <x v="0"/>
    <s v="Travel_Rarely"/>
    <n v="410"/>
    <x v="0"/>
    <n v="28"/>
    <n v="3"/>
    <s v="Marketing"/>
    <n v="2055"/>
    <n v="4"/>
    <s v="Male"/>
    <n v="39"/>
    <n v="2"/>
    <n v="3"/>
    <x v="0"/>
    <n v="1"/>
    <s v="Divorced"/>
    <n v="10854"/>
    <n v="16586"/>
    <n v="4"/>
    <x v="0"/>
    <n v="13"/>
    <n v="3"/>
    <n v="2"/>
    <n v="1"/>
    <n v="20"/>
    <n v="3"/>
    <n v="3"/>
    <n v="3"/>
    <n v="2"/>
    <n v="2"/>
    <n v="0"/>
    <s v="50+"/>
  </r>
  <r>
    <n v="39"/>
    <x v="1"/>
    <s v="Travel_Rarely"/>
    <n v="722"/>
    <x v="0"/>
    <n v="24"/>
    <n v="1"/>
    <s v="Marketing"/>
    <n v="2056"/>
    <n v="2"/>
    <s v="Female"/>
    <n v="60"/>
    <n v="2"/>
    <n v="4"/>
    <x v="0"/>
    <n v="4"/>
    <s v="Married"/>
    <n v="12031"/>
    <n v="8828"/>
    <n v="0"/>
    <x v="1"/>
    <n v="11"/>
    <n v="3"/>
    <n v="1"/>
    <n v="1"/>
    <n v="21"/>
    <n v="2"/>
    <n v="2"/>
    <n v="20"/>
    <n v="9"/>
    <n v="9"/>
    <n v="6"/>
    <s v="30-39"/>
  </r>
  <r>
    <n v="31"/>
    <x v="1"/>
    <s v="Non-Travel"/>
    <n v="325"/>
    <x v="1"/>
    <n v="5"/>
    <n v="3"/>
    <s v="Medical"/>
    <n v="2057"/>
    <n v="2"/>
    <s v="Male"/>
    <n v="74"/>
    <n v="3"/>
    <n v="2"/>
    <x v="3"/>
    <n v="1"/>
    <s v="Single"/>
    <n v="9936"/>
    <n v="3787"/>
    <n v="0"/>
    <x v="1"/>
    <n v="19"/>
    <n v="3"/>
    <n v="2"/>
    <n v="0"/>
    <n v="10"/>
    <n v="2"/>
    <n v="3"/>
    <n v="9"/>
    <n v="4"/>
    <n v="1"/>
    <n v="7"/>
    <s v="30-39"/>
  </r>
  <r>
    <n v="26"/>
    <x v="1"/>
    <s v="Travel_Rarely"/>
    <n v="1167"/>
    <x v="0"/>
    <n v="5"/>
    <n v="3"/>
    <s v="Other"/>
    <n v="2060"/>
    <n v="4"/>
    <s v="Female"/>
    <n v="30"/>
    <n v="2"/>
    <n v="1"/>
    <x v="6"/>
    <n v="3"/>
    <s v="Single"/>
    <n v="2966"/>
    <n v="21378"/>
    <n v="0"/>
    <x v="1"/>
    <n v="18"/>
    <n v="3"/>
    <n v="4"/>
    <n v="0"/>
    <n v="5"/>
    <n v="2"/>
    <n v="3"/>
    <n v="4"/>
    <n v="2"/>
    <n v="0"/>
    <n v="0"/>
    <s v="Below 30"/>
  </r>
  <r>
    <n v="36"/>
    <x v="1"/>
    <s v="Travel_Frequently"/>
    <n v="884"/>
    <x v="1"/>
    <n v="23"/>
    <n v="2"/>
    <s v="Medical"/>
    <n v="2061"/>
    <n v="3"/>
    <s v="Male"/>
    <n v="41"/>
    <n v="4"/>
    <n v="2"/>
    <x v="2"/>
    <n v="4"/>
    <s v="Married"/>
    <n v="2571"/>
    <n v="12290"/>
    <n v="4"/>
    <x v="1"/>
    <n v="17"/>
    <n v="3"/>
    <n v="3"/>
    <n v="1"/>
    <n v="17"/>
    <n v="3"/>
    <n v="3"/>
    <n v="5"/>
    <n v="2"/>
    <n v="0"/>
    <n v="3"/>
    <s v="30-39"/>
  </r>
  <r>
    <n v="39"/>
    <x v="1"/>
    <s v="Travel_Rarely"/>
    <n v="613"/>
    <x v="1"/>
    <n v="6"/>
    <n v="1"/>
    <s v="Medical"/>
    <n v="2062"/>
    <n v="4"/>
    <s v="Male"/>
    <n v="42"/>
    <n v="2"/>
    <n v="3"/>
    <x v="4"/>
    <n v="1"/>
    <s v="Married"/>
    <n v="9991"/>
    <n v="21457"/>
    <n v="4"/>
    <x v="1"/>
    <n v="15"/>
    <n v="3"/>
    <n v="1"/>
    <n v="1"/>
    <n v="9"/>
    <n v="5"/>
    <n v="3"/>
    <n v="7"/>
    <n v="7"/>
    <n v="1"/>
    <n v="7"/>
    <s v="30-39"/>
  </r>
  <r>
    <n v="27"/>
    <x v="1"/>
    <s v="Travel_Rarely"/>
    <n v="155"/>
    <x v="1"/>
    <n v="4"/>
    <n v="3"/>
    <s v="Life Sciences"/>
    <n v="2064"/>
    <n v="2"/>
    <s v="Male"/>
    <n v="87"/>
    <n v="4"/>
    <n v="2"/>
    <x v="3"/>
    <n v="2"/>
    <s v="Married"/>
    <n v="6142"/>
    <n v="5174"/>
    <n v="1"/>
    <x v="0"/>
    <n v="20"/>
    <n v="4"/>
    <n v="2"/>
    <n v="1"/>
    <n v="6"/>
    <n v="0"/>
    <n v="3"/>
    <n v="6"/>
    <n v="2"/>
    <n v="0"/>
    <n v="3"/>
    <s v="Below 30"/>
  </r>
  <r>
    <n v="49"/>
    <x v="1"/>
    <s v="Travel_Frequently"/>
    <n v="1023"/>
    <x v="0"/>
    <n v="2"/>
    <n v="3"/>
    <s v="Medical"/>
    <n v="2065"/>
    <n v="4"/>
    <s v="Male"/>
    <n v="63"/>
    <n v="2"/>
    <n v="2"/>
    <x v="0"/>
    <n v="2"/>
    <s v="Married"/>
    <n v="5390"/>
    <n v="13243"/>
    <n v="2"/>
    <x v="1"/>
    <n v="14"/>
    <n v="3"/>
    <n v="4"/>
    <n v="0"/>
    <n v="17"/>
    <n v="3"/>
    <n v="2"/>
    <n v="9"/>
    <n v="6"/>
    <n v="0"/>
    <n v="8"/>
    <s v="40-49"/>
  </r>
  <r>
    <n v="34"/>
    <x v="1"/>
    <s v="Travel_Rarely"/>
    <n v="628"/>
    <x v="1"/>
    <n v="8"/>
    <n v="3"/>
    <s v="Medical"/>
    <n v="2068"/>
    <n v="2"/>
    <s v="Male"/>
    <n v="82"/>
    <n v="4"/>
    <n v="2"/>
    <x v="2"/>
    <n v="3"/>
    <s v="Married"/>
    <n v="4404"/>
    <n v="10228"/>
    <n v="2"/>
    <x v="1"/>
    <n v="12"/>
    <n v="3"/>
    <n v="1"/>
    <n v="0"/>
    <n v="6"/>
    <n v="3"/>
    <n v="4"/>
    <n v="4"/>
    <n v="3"/>
    <n v="1"/>
    <n v="2"/>
    <s v="30-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78B22-07D4-492F-9E48-A2B0C3EF318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3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A8F86-61BB-41B3-BA6E-31A255417EF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1" firstDataRow="2" firstDataCol="1" rowPageCount="1" colPageCount="1"/>
  <pivotFields count="33"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axis="axisCol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0"/>
  </colFields>
  <colItems count="3">
    <i>
      <x/>
    </i>
    <i>
      <x v="1"/>
    </i>
    <i t="grand">
      <x/>
    </i>
  </colItems>
  <pageFields count="1">
    <pageField fld="1" item="1" hier="-1"/>
  </pageFields>
  <dataFields count="1">
    <dataField name="Count of EmployeeNumber" fld="8" subtotal="count" showDataAs="percentOfRow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1AC46-DAD3-4371-9199-1D4D20320CE5}" name="HRdata" displayName="HRdata" ref="A1:AG1471" totalsRowShown="0">
  <autoFilter ref="A1:AG1471" xr:uid="{EE21AC46-DAD3-4371-9199-1D4D20320CE5}"/>
  <tableColumns count="33">
    <tableColumn id="1" xr3:uid="{3EA6945F-0220-45F5-A0E1-CD7BE7BA7479}" name="Age"/>
    <tableColumn id="2" xr3:uid="{3215558C-CA09-4D2A-95CE-71A2282DABC3}" name="Attrition"/>
    <tableColumn id="3" xr3:uid="{6FA44F3C-14EE-470C-9F89-434CBA16F7CC}" name="BusinessTravel"/>
    <tableColumn id="4" xr3:uid="{C5F22964-97FF-4AAA-92CC-29E5C5A3278D}" name="DailyRate"/>
    <tableColumn id="5" xr3:uid="{DB8F686D-F9C4-41E4-81F9-5D7BA35788F3}" name="Department"/>
    <tableColumn id="6" xr3:uid="{751AA615-CAD8-4CBB-97E3-214056C14F99}" name="DistanceFromHome"/>
    <tableColumn id="7" xr3:uid="{362D4287-3C3B-435B-A92E-A819CB4CD57D}" name="Education"/>
    <tableColumn id="8" xr3:uid="{8F369943-3202-4348-AF7E-749EC861A34A}" name="EducationField"/>
    <tableColumn id="10" xr3:uid="{D89C456E-F9EB-4579-8106-4D68571E9BB1}" name="EmployeeNumber"/>
    <tableColumn id="11" xr3:uid="{A8F64C7A-F1B7-46C4-9C92-F641290D1749}" name="EnvironmentSatisfaction"/>
    <tableColumn id="12" xr3:uid="{A5209F20-F261-4651-89DA-7712C9CCE253}" name="Gender"/>
    <tableColumn id="13" xr3:uid="{0B9DED46-39B4-4CDF-B181-7ED6CD220E57}" name="HourlyRate"/>
    <tableColumn id="14" xr3:uid="{02D4B25F-B2B6-41C9-AC4F-B1C2D334AF19}" name="JobInvolvement"/>
    <tableColumn id="15" xr3:uid="{2E98D326-C07A-4708-9299-F7388574D4AD}" name="JobLevel"/>
    <tableColumn id="16" xr3:uid="{7BC5660B-8F2F-4568-8D23-272D164210D1}" name="JobRole"/>
    <tableColumn id="17" xr3:uid="{467CB530-A705-49FD-BD20-F72FE869CDE1}" name="JobSatisfaction"/>
    <tableColumn id="18" xr3:uid="{3EFCBAA5-7DDC-4134-8A26-56D0879A71EE}" name="MaritalStatus"/>
    <tableColumn id="19" xr3:uid="{BC999113-3B49-4C6B-88C5-EA0D5B3955B7}" name="MonthlyIncome"/>
    <tableColumn id="20" xr3:uid="{71BB1203-C1E8-402D-B671-CDF9FF27D96A}" name="MonthlyRate"/>
    <tableColumn id="21" xr3:uid="{92E3D682-CBFA-4138-B016-DF2BF788F48F}" name="NumCompaniesWorked"/>
    <tableColumn id="23" xr3:uid="{86EC58C7-8C1D-48B0-AED3-D9C51FA61111}" name="OverTime"/>
    <tableColumn id="24" xr3:uid="{09DE1A2C-1D33-4EB7-9024-1CF8F46A6863}" name="PercentSalaryHike"/>
    <tableColumn id="25" xr3:uid="{A673A479-40A6-4D32-B89E-13405A7E83F5}" name="PerformanceRating"/>
    <tableColumn id="26" xr3:uid="{828A8F23-8FAD-4C9F-9824-7230B3BC3D74}" name="RelationshipSatisfaction"/>
    <tableColumn id="28" xr3:uid="{EDCA3EF9-6C1D-4FFA-983A-DAE1344B15C5}" name="StockOptionLevel"/>
    <tableColumn id="29" xr3:uid="{C2394012-2470-4444-BADE-52359503423C}" name="TotalWorkingYears"/>
    <tableColumn id="30" xr3:uid="{0976E683-4170-40C6-A6C5-DD79598FFBAB}" name="TrainingTimesLastYear"/>
    <tableColumn id="31" xr3:uid="{97BFC016-0B78-4E60-B918-A2B940A4D0FE}" name="WorkLifeBalance"/>
    <tableColumn id="32" xr3:uid="{32F2E518-C93D-462C-826F-B2269F3AA50F}" name="YearsAtCompany"/>
    <tableColumn id="33" xr3:uid="{5CEE9829-6F47-4D6F-988C-FB1C02ED0F6B}" name="YearsInCurrentRole"/>
    <tableColumn id="34" xr3:uid="{A5205A9B-8B0D-4908-9B2E-804402CE9F6C}" name="YearsSinceLastPromotion"/>
    <tableColumn id="35" xr3:uid="{9136846F-12D4-44F1-9548-0800B792FD24}" name="YearsWithCurrManager"/>
    <tableColumn id="37" xr3:uid="{D1112955-11EE-483B-8EE0-A2630C20FE4C}" name="Age group">
      <calculatedColumnFormula array="1">_xlfn.IFS(A2&lt;30,"Below 30",A2&lt;40,"30-39",A2&lt;50,"40-49",TRUE,"50+")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5978-0FE5-4006-A47D-DE8800B35EB9}">
  <dimension ref="A1:AG1471"/>
  <sheetViews>
    <sheetView tabSelected="1" workbookViewId="0">
      <pane ySplit="1" topLeftCell="A2" activePane="bottomLeft" state="frozen"/>
      <selection activeCell="Z1" sqref="Z1"/>
      <selection pane="bottomLeft" activeCell="D3" sqref="D3"/>
    </sheetView>
  </sheetViews>
  <sheetFormatPr defaultRowHeight="14.5" x14ac:dyDescent="0.35"/>
  <cols>
    <col min="2" max="2" width="10" customWidth="1"/>
    <col min="3" max="3" width="15.90625" bestFit="1" customWidth="1"/>
    <col min="4" max="4" width="10.7265625" customWidth="1"/>
    <col min="5" max="5" width="22.08984375" bestFit="1" customWidth="1"/>
    <col min="6" max="6" width="19.36328125" customWidth="1"/>
    <col min="7" max="7" width="11.1796875" customWidth="1"/>
    <col min="8" max="8" width="15.90625" bestFit="1" customWidth="1"/>
    <col min="9" max="9" width="17.81640625" customWidth="1"/>
    <col min="10" max="10" width="23.36328125" customWidth="1"/>
    <col min="11" max="11" width="9" customWidth="1"/>
    <col min="12" max="12" width="12.1796875" customWidth="1"/>
    <col min="13" max="13" width="16.08984375" customWidth="1"/>
    <col min="14" max="14" width="9.81640625" customWidth="1"/>
    <col min="15" max="15" width="23" bestFit="1" customWidth="1"/>
    <col min="16" max="16" width="15.36328125" customWidth="1"/>
    <col min="17" max="17" width="14.1796875" customWidth="1"/>
    <col min="18" max="18" width="16.08984375" customWidth="1"/>
    <col min="19" max="19" width="13.7265625" customWidth="1"/>
    <col min="20" max="20" width="22.81640625" customWidth="1"/>
    <col min="21" max="21" width="10.90625" customWidth="1"/>
    <col min="22" max="22" width="18" customWidth="1"/>
    <col min="23" max="23" width="18.90625" customWidth="1"/>
    <col min="24" max="24" width="22.90625" customWidth="1"/>
    <col min="25" max="25" width="17.36328125" customWidth="1"/>
    <col min="26" max="26" width="18.7265625" customWidth="1"/>
    <col min="27" max="27" width="21.54296875" customWidth="1"/>
    <col min="28" max="28" width="16.81640625" customWidth="1"/>
    <col min="29" max="29" width="17.1796875" customWidth="1"/>
    <col min="30" max="30" width="19.08984375" customWidth="1"/>
    <col min="31" max="31" width="24" customWidth="1"/>
    <col min="32" max="33" width="22.5429687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58</v>
      </c>
    </row>
    <row r="2" spans="1:33" x14ac:dyDescent="0.35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 cm="1">
        <f t="array" ref="AG2">_xlfn.IFS(A2&lt;30,"Below 30",A2&lt;40,"30-39",A2&lt;50,"40-49",TRUE,"50+")</f>
        <v>40-49</v>
      </c>
    </row>
    <row r="3" spans="1:33" x14ac:dyDescent="0.35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 cm="1">
        <f t="array" ref="AG3">_xlfn.IFS(A3&lt;30,"Below 30",A3&lt;40,"30-39",A3&lt;50,"40-49",TRUE,"50+")</f>
        <v>40-49</v>
      </c>
    </row>
    <row r="4" spans="1:33" x14ac:dyDescent="0.35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 cm="1">
        <f t="array" ref="AG4">_xlfn.IFS(A4&lt;30,"Below 30",A4&lt;40,"30-39",A4&lt;50,"40-49",TRUE,"50+")</f>
        <v>30-39</v>
      </c>
    </row>
    <row r="5" spans="1:33" x14ac:dyDescent="0.35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 cm="1">
        <f t="array" ref="AG5">_xlfn.IFS(A5&lt;30,"Below 30",A5&lt;40,"30-39",A5&lt;50,"40-49",TRUE,"50+")</f>
        <v>30-39</v>
      </c>
    </row>
    <row r="6" spans="1:33" x14ac:dyDescent="0.35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 cm="1">
        <f t="array" ref="AG6">_xlfn.IFS(A6&lt;30,"Below 30",A6&lt;40,"30-39",A6&lt;50,"40-49",TRUE,"50+")</f>
        <v>Below 30</v>
      </c>
    </row>
    <row r="7" spans="1:33" x14ac:dyDescent="0.35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 cm="1">
        <f t="array" ref="AG7">_xlfn.IFS(A7&lt;30,"Below 30",A7&lt;40,"30-39",A7&lt;50,"40-49",TRUE,"50+")</f>
        <v>30-39</v>
      </c>
    </row>
    <row r="8" spans="1:33" x14ac:dyDescent="0.35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 cm="1">
        <f t="array" ref="AG8">_xlfn.IFS(A8&lt;30,"Below 30",A8&lt;40,"30-39",A8&lt;50,"40-49",TRUE,"50+")</f>
        <v>50+</v>
      </c>
    </row>
    <row r="9" spans="1:33" x14ac:dyDescent="0.35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 cm="1">
        <f t="array" ref="AG9">_xlfn.IFS(A9&lt;30,"Below 30",A9&lt;40,"30-39",A9&lt;50,"40-49",TRUE,"50+")</f>
        <v>30-39</v>
      </c>
    </row>
    <row r="10" spans="1:33" x14ac:dyDescent="0.35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 cm="1">
        <f t="array" ref="AG10">_xlfn.IFS(A10&lt;30,"Below 30",A10&lt;40,"30-39",A10&lt;50,"40-49",TRUE,"50+")</f>
        <v>30-39</v>
      </c>
    </row>
    <row r="11" spans="1:33" x14ac:dyDescent="0.35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 cm="1">
        <f t="array" ref="AG11">_xlfn.IFS(A11&lt;30,"Below 30",A11&lt;40,"30-39",A11&lt;50,"40-49",TRUE,"50+")</f>
        <v>30-39</v>
      </c>
    </row>
    <row r="12" spans="1:33" x14ac:dyDescent="0.35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 cm="1">
        <f t="array" ref="AG12">_xlfn.IFS(A12&lt;30,"Below 30",A12&lt;40,"30-39",A12&lt;50,"40-49",TRUE,"50+")</f>
        <v>30-39</v>
      </c>
    </row>
    <row r="13" spans="1:33" x14ac:dyDescent="0.35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 cm="1">
        <f t="array" ref="AG13">_xlfn.IFS(A13&lt;30,"Below 30",A13&lt;40,"30-39",A13&lt;50,"40-49",TRUE,"50+")</f>
        <v>Below 30</v>
      </c>
    </row>
    <row r="14" spans="1:33" x14ac:dyDescent="0.35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 cm="1">
        <f t="array" ref="AG14">_xlfn.IFS(A14&lt;30,"Below 30",A14&lt;40,"30-39",A14&lt;50,"40-49",TRUE,"50+")</f>
        <v>30-39</v>
      </c>
    </row>
    <row r="15" spans="1:33" x14ac:dyDescent="0.35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 cm="1">
        <f t="array" ref="AG15">_xlfn.IFS(A15&lt;30,"Below 30",A15&lt;40,"30-39",A15&lt;50,"40-49",TRUE,"50+")</f>
        <v>30-39</v>
      </c>
    </row>
    <row r="16" spans="1:33" x14ac:dyDescent="0.35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 cm="1">
        <f t="array" ref="AG16">_xlfn.IFS(A16&lt;30,"Below 30",A16&lt;40,"30-39",A16&lt;50,"40-49",TRUE,"50+")</f>
        <v>Below 30</v>
      </c>
    </row>
    <row r="17" spans="1:33" x14ac:dyDescent="0.35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 cm="1">
        <f t="array" ref="AG17">_xlfn.IFS(A17&lt;30,"Below 30",A17&lt;40,"30-39",A17&lt;50,"40-49",TRUE,"50+")</f>
        <v>Below 30</v>
      </c>
    </row>
    <row r="18" spans="1:33" x14ac:dyDescent="0.35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 cm="1">
        <f t="array" ref="AG18">_xlfn.IFS(A18&lt;30,"Below 30",A18&lt;40,"30-39",A18&lt;50,"40-49",TRUE,"50+")</f>
        <v>30-39</v>
      </c>
    </row>
    <row r="19" spans="1:33" x14ac:dyDescent="0.35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 cm="1">
        <f t="array" ref="AG19">_xlfn.IFS(A19&lt;30,"Below 30",A19&lt;40,"30-39",A19&lt;50,"40-49",TRUE,"50+")</f>
        <v>Below 30</v>
      </c>
    </row>
    <row r="20" spans="1:33" x14ac:dyDescent="0.35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 cm="1">
        <f t="array" ref="AG20">_xlfn.IFS(A20&lt;30,"Below 30",A20&lt;40,"30-39",A20&lt;50,"40-49",TRUE,"50+")</f>
        <v>50+</v>
      </c>
    </row>
    <row r="21" spans="1:33" x14ac:dyDescent="0.35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 cm="1">
        <f t="array" ref="AG21">_xlfn.IFS(A21&lt;30,"Below 30",A21&lt;40,"30-39",A21&lt;50,"40-49",TRUE,"50+")</f>
        <v>30-39</v>
      </c>
    </row>
    <row r="22" spans="1:33" x14ac:dyDescent="0.35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 cm="1">
        <f t="array" ref="AG22">_xlfn.IFS(A22&lt;30,"Below 30",A22&lt;40,"30-39",A22&lt;50,"40-49",TRUE,"50+")</f>
        <v>Below 30</v>
      </c>
    </row>
    <row r="23" spans="1:33" x14ac:dyDescent="0.35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 cm="1">
        <f t="array" ref="AG23">_xlfn.IFS(A23&lt;30,"Below 30",A23&lt;40,"30-39",A23&lt;50,"40-49",TRUE,"50+")</f>
        <v>30-39</v>
      </c>
    </row>
    <row r="24" spans="1:33" x14ac:dyDescent="0.35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 cm="1">
        <f t="array" ref="AG24">_xlfn.IFS(A24&lt;30,"Below 30",A24&lt;40,"30-39",A24&lt;50,"40-49",TRUE,"50+")</f>
        <v>30-39</v>
      </c>
    </row>
    <row r="25" spans="1:33" x14ac:dyDescent="0.35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 cm="1">
        <f t="array" ref="AG25">_xlfn.IFS(A25&lt;30,"Below 30",A25&lt;40,"30-39",A25&lt;50,"40-49",TRUE,"50+")</f>
        <v>Below 30</v>
      </c>
    </row>
    <row r="26" spans="1:33" x14ac:dyDescent="0.35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 cm="1">
        <f t="array" ref="AG26">_xlfn.IFS(A26&lt;30,"Below 30",A26&lt;40,"30-39",A26&lt;50,"40-49",TRUE,"50+")</f>
        <v>30-39</v>
      </c>
    </row>
    <row r="27" spans="1:33" x14ac:dyDescent="0.35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 cm="1">
        <f t="array" ref="AG27">_xlfn.IFS(A27&lt;30,"Below 30",A27&lt;40,"30-39",A27&lt;50,"40-49",TRUE,"50+")</f>
        <v>50+</v>
      </c>
    </row>
    <row r="28" spans="1:33" x14ac:dyDescent="0.35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 cm="1">
        <f t="array" ref="AG28">_xlfn.IFS(A28&lt;30,"Below 30",A28&lt;40,"30-39",A28&lt;50,"40-49",TRUE,"50+")</f>
        <v>30-39</v>
      </c>
    </row>
    <row r="29" spans="1:33" x14ac:dyDescent="0.35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 cm="1">
        <f t="array" ref="AG29">_xlfn.IFS(A29&lt;30,"Below 30",A29&lt;40,"30-39",A29&lt;50,"40-49",TRUE,"50+")</f>
        <v>40-49</v>
      </c>
    </row>
    <row r="30" spans="1:33" x14ac:dyDescent="0.35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 cm="1">
        <f t="array" ref="AG30">_xlfn.IFS(A30&lt;30,"Below 30",A30&lt;40,"30-39",A30&lt;50,"40-49",TRUE,"50+")</f>
        <v>40-49</v>
      </c>
    </row>
    <row r="31" spans="1:33" x14ac:dyDescent="0.35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 cm="1">
        <f t="array" ref="AG31">_xlfn.IFS(A31&lt;30,"Below 30",A31&lt;40,"30-39",A31&lt;50,"40-49",TRUE,"50+")</f>
        <v>40-49</v>
      </c>
    </row>
    <row r="32" spans="1:33" x14ac:dyDescent="0.35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 cm="1">
        <f t="array" ref="AG32">_xlfn.IFS(A32&lt;30,"Below 30",A32&lt;40,"30-39",A32&lt;50,"40-49",TRUE,"50+")</f>
        <v>30-39</v>
      </c>
    </row>
    <row r="33" spans="1:33" x14ac:dyDescent="0.35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 cm="1">
        <f t="array" ref="AG33">_xlfn.IFS(A33&lt;30,"Below 30",A33&lt;40,"30-39",A33&lt;50,"40-49",TRUE,"50+")</f>
        <v>40-49</v>
      </c>
    </row>
    <row r="34" spans="1:33" x14ac:dyDescent="0.35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 cm="1">
        <f t="array" ref="AG34">_xlfn.IFS(A34&lt;30,"Below 30",A34&lt;40,"30-39",A34&lt;50,"40-49",TRUE,"50+")</f>
        <v>30-39</v>
      </c>
    </row>
    <row r="35" spans="1:33" x14ac:dyDescent="0.35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 cm="1">
        <f t="array" ref="AG35">_xlfn.IFS(A35&lt;30,"Below 30",A35&lt;40,"30-39",A35&lt;50,"40-49",TRUE,"50+")</f>
        <v>30-39</v>
      </c>
    </row>
    <row r="36" spans="1:33" x14ac:dyDescent="0.35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 cm="1">
        <f t="array" ref="AG36">_xlfn.IFS(A36&lt;30,"Below 30",A36&lt;40,"30-39",A36&lt;50,"40-49",TRUE,"50+")</f>
        <v>Below 30</v>
      </c>
    </row>
    <row r="37" spans="1:33" x14ac:dyDescent="0.35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 cm="1">
        <f t="array" ref="AG37">_xlfn.IFS(A37&lt;30,"Below 30",A37&lt;40,"30-39",A37&lt;50,"40-49",TRUE,"50+")</f>
        <v>40-49</v>
      </c>
    </row>
    <row r="38" spans="1:33" x14ac:dyDescent="0.35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 cm="1">
        <f t="array" ref="AG38">_xlfn.IFS(A38&lt;30,"Below 30",A38&lt;40,"30-39",A38&lt;50,"40-49",TRUE,"50+")</f>
        <v>50+</v>
      </c>
    </row>
    <row r="39" spans="1:33" x14ac:dyDescent="0.35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 cm="1">
        <f t="array" ref="AG39">_xlfn.IFS(A39&lt;30,"Below 30",A39&lt;40,"30-39",A39&lt;50,"40-49",TRUE,"50+")</f>
        <v>30-39</v>
      </c>
    </row>
    <row r="40" spans="1:33" x14ac:dyDescent="0.35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 cm="1">
        <f t="array" ref="AG40">_xlfn.IFS(A40&lt;30,"Below 30",A40&lt;40,"30-39",A40&lt;50,"40-49",TRUE,"50+")</f>
        <v>30-39</v>
      </c>
    </row>
    <row r="41" spans="1:33" x14ac:dyDescent="0.35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 cm="1">
        <f t="array" ref="AG41">_xlfn.IFS(A41&lt;30,"Below 30",A41&lt;40,"30-39",A41&lt;50,"40-49",TRUE,"50+")</f>
        <v>30-39</v>
      </c>
    </row>
    <row r="42" spans="1:33" x14ac:dyDescent="0.35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 cm="1">
        <f t="array" ref="AG42">_xlfn.IFS(A42&lt;30,"Below 30",A42&lt;40,"30-39",A42&lt;50,"40-49",TRUE,"50+")</f>
        <v>30-39</v>
      </c>
    </row>
    <row r="43" spans="1:33" x14ac:dyDescent="0.35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 cm="1">
        <f t="array" ref="AG43">_xlfn.IFS(A43&lt;30,"Below 30",A43&lt;40,"30-39",A43&lt;50,"40-49",TRUE,"50+")</f>
        <v>Below 30</v>
      </c>
    </row>
    <row r="44" spans="1:33" x14ac:dyDescent="0.35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 cm="1">
        <f t="array" ref="AG44">_xlfn.IFS(A44&lt;30,"Below 30",A44&lt;40,"30-39",A44&lt;50,"40-49",TRUE,"50+")</f>
        <v>Below 30</v>
      </c>
    </row>
    <row r="45" spans="1:33" x14ac:dyDescent="0.35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 cm="1">
        <f t="array" ref="AG45">_xlfn.IFS(A45&lt;30,"Below 30",A45&lt;40,"30-39",A45&lt;50,"40-49",TRUE,"50+")</f>
        <v>Below 30</v>
      </c>
    </row>
    <row r="46" spans="1:33" x14ac:dyDescent="0.35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 cm="1">
        <f t="array" ref="AG46">_xlfn.IFS(A46&lt;30,"Below 30",A46&lt;40,"30-39",A46&lt;50,"40-49",TRUE,"50+")</f>
        <v>30-39</v>
      </c>
    </row>
    <row r="47" spans="1:33" x14ac:dyDescent="0.35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 cm="1">
        <f t="array" ref="AG47">_xlfn.IFS(A47&lt;30,"Below 30",A47&lt;40,"30-39",A47&lt;50,"40-49",TRUE,"50+")</f>
        <v>40-49</v>
      </c>
    </row>
    <row r="48" spans="1:33" x14ac:dyDescent="0.35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 cm="1">
        <f t="array" ref="AG48">_xlfn.IFS(A48&lt;30,"Below 30",A48&lt;40,"30-39",A48&lt;50,"40-49",TRUE,"50+")</f>
        <v>30-39</v>
      </c>
    </row>
    <row r="49" spans="1:33" x14ac:dyDescent="0.35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 cm="1">
        <f t="array" ref="AG49">_xlfn.IFS(A49&lt;30,"Below 30",A49&lt;40,"30-39",A49&lt;50,"40-49",TRUE,"50+")</f>
        <v>30-39</v>
      </c>
    </row>
    <row r="50" spans="1:33" x14ac:dyDescent="0.35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 cm="1">
        <f t="array" ref="AG50">_xlfn.IFS(A50&lt;30,"Below 30",A50&lt;40,"30-39",A50&lt;50,"40-49",TRUE,"50+")</f>
        <v>40-49</v>
      </c>
    </row>
    <row r="51" spans="1:33" x14ac:dyDescent="0.35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 cm="1">
        <f t="array" ref="AG51">_xlfn.IFS(A51&lt;30,"Below 30",A51&lt;40,"30-39",A51&lt;50,"40-49",TRUE,"50+")</f>
        <v>30-39</v>
      </c>
    </row>
    <row r="52" spans="1:33" x14ac:dyDescent="0.35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 cm="1">
        <f t="array" ref="AG52">_xlfn.IFS(A52&lt;30,"Below 30",A52&lt;40,"30-39",A52&lt;50,"40-49",TRUE,"50+")</f>
        <v>40-49</v>
      </c>
    </row>
    <row r="53" spans="1:33" x14ac:dyDescent="0.35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 cm="1">
        <f t="array" ref="AG53">_xlfn.IFS(A53&lt;30,"Below 30",A53&lt;40,"30-39",A53&lt;50,"40-49",TRUE,"50+")</f>
        <v>Below 30</v>
      </c>
    </row>
    <row r="54" spans="1:33" x14ac:dyDescent="0.35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 cm="1">
        <f t="array" ref="AG54">_xlfn.IFS(A54&lt;30,"Below 30",A54&lt;40,"30-39",A54&lt;50,"40-49",TRUE,"50+")</f>
        <v>40-49</v>
      </c>
    </row>
    <row r="55" spans="1:33" x14ac:dyDescent="0.35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 cm="1">
        <f t="array" ref="AG55">_xlfn.IFS(A55&lt;30,"Below 30",A55&lt;40,"30-39",A55&lt;50,"40-49",TRUE,"50+")</f>
        <v>30-39</v>
      </c>
    </row>
    <row r="56" spans="1:33" x14ac:dyDescent="0.35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 cm="1">
        <f t="array" ref="AG56">_xlfn.IFS(A56&lt;30,"Below 30",A56&lt;40,"30-39",A56&lt;50,"40-49",TRUE,"50+")</f>
        <v>Below 30</v>
      </c>
    </row>
    <row r="57" spans="1:33" x14ac:dyDescent="0.35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 cm="1">
        <f t="array" ref="AG57">_xlfn.IFS(A57&lt;30,"Below 30",A57&lt;40,"30-39",A57&lt;50,"40-49",TRUE,"50+")</f>
        <v>30-39</v>
      </c>
    </row>
    <row r="58" spans="1:33" x14ac:dyDescent="0.35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 cm="1">
        <f t="array" ref="AG58">_xlfn.IFS(A58&lt;30,"Below 30",A58&lt;40,"30-39",A58&lt;50,"40-49",TRUE,"50+")</f>
        <v>30-39</v>
      </c>
    </row>
    <row r="59" spans="1:33" x14ac:dyDescent="0.35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 cm="1">
        <f t="array" ref="AG59">_xlfn.IFS(A59&lt;30,"Below 30",A59&lt;40,"30-39",A59&lt;50,"40-49",TRUE,"50+")</f>
        <v>30-39</v>
      </c>
    </row>
    <row r="60" spans="1:33" x14ac:dyDescent="0.35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 cm="1">
        <f t="array" ref="AG60">_xlfn.IFS(A60&lt;30,"Below 30",A60&lt;40,"30-39",A60&lt;50,"40-49",TRUE,"50+")</f>
        <v>30-39</v>
      </c>
    </row>
    <row r="61" spans="1:33" x14ac:dyDescent="0.35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 cm="1">
        <f t="array" ref="AG61">_xlfn.IFS(A61&lt;30,"Below 30",A61&lt;40,"30-39",A61&lt;50,"40-49",TRUE,"50+")</f>
        <v>30-39</v>
      </c>
    </row>
    <row r="62" spans="1:33" x14ac:dyDescent="0.35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 cm="1">
        <f t="array" ref="AG62">_xlfn.IFS(A62&lt;30,"Below 30",A62&lt;40,"30-39",A62&lt;50,"40-49",TRUE,"50+")</f>
        <v>30-39</v>
      </c>
    </row>
    <row r="63" spans="1:33" x14ac:dyDescent="0.35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 cm="1">
        <f t="array" ref="AG63">_xlfn.IFS(A63&lt;30,"Below 30",A63&lt;40,"30-39",A63&lt;50,"40-49",TRUE,"50+")</f>
        <v>30-39</v>
      </c>
    </row>
    <row r="64" spans="1:33" x14ac:dyDescent="0.35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 cm="1">
        <f t="array" ref="AG64">_xlfn.IFS(A64&lt;30,"Below 30",A64&lt;40,"30-39",A64&lt;50,"40-49",TRUE,"50+")</f>
        <v>50+</v>
      </c>
    </row>
    <row r="65" spans="1:33" x14ac:dyDescent="0.35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 cm="1">
        <f t="array" ref="AG65">_xlfn.IFS(A65&lt;30,"Below 30",A65&lt;40,"30-39",A65&lt;50,"40-49",TRUE,"50+")</f>
        <v>50+</v>
      </c>
    </row>
    <row r="66" spans="1:33" x14ac:dyDescent="0.35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 cm="1">
        <f t="array" ref="AG66">_xlfn.IFS(A66&lt;30,"Below 30",A66&lt;40,"30-39",A66&lt;50,"40-49",TRUE,"50+")</f>
        <v>30-39</v>
      </c>
    </row>
    <row r="67" spans="1:33" x14ac:dyDescent="0.35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 cm="1">
        <f t="array" ref="AG67">_xlfn.IFS(A67&lt;30,"Below 30",A67&lt;40,"30-39",A67&lt;50,"40-49",TRUE,"50+")</f>
        <v>50+</v>
      </c>
    </row>
    <row r="68" spans="1:33" x14ac:dyDescent="0.35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 cm="1">
        <f t="array" ref="AG68">_xlfn.IFS(A68&lt;30,"Below 30",A68&lt;40,"30-39",A68&lt;50,"40-49",TRUE,"50+")</f>
        <v>30-39</v>
      </c>
    </row>
    <row r="69" spans="1:33" x14ac:dyDescent="0.35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 cm="1">
        <f t="array" ref="AG69">_xlfn.IFS(A69&lt;30,"Below 30",A69&lt;40,"30-39",A69&lt;50,"40-49",TRUE,"50+")</f>
        <v>40-49</v>
      </c>
    </row>
    <row r="70" spans="1:33" x14ac:dyDescent="0.35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 cm="1">
        <f t="array" ref="AG70">_xlfn.IFS(A70&lt;30,"Below 30",A70&lt;40,"30-39",A70&lt;50,"40-49",TRUE,"50+")</f>
        <v>30-39</v>
      </c>
    </row>
    <row r="71" spans="1:33" x14ac:dyDescent="0.35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 cm="1">
        <f t="array" ref="AG71">_xlfn.IFS(A71&lt;30,"Below 30",A71&lt;40,"30-39",A71&lt;50,"40-49",TRUE,"50+")</f>
        <v>30-39</v>
      </c>
    </row>
    <row r="72" spans="1:33" x14ac:dyDescent="0.35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 cm="1">
        <f t="array" ref="AG72">_xlfn.IFS(A72&lt;30,"Below 30",A72&lt;40,"30-39",A72&lt;50,"40-49",TRUE,"50+")</f>
        <v>50+</v>
      </c>
    </row>
    <row r="73" spans="1:33" x14ac:dyDescent="0.35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 cm="1">
        <f t="array" ref="AG73">_xlfn.IFS(A73&lt;30,"Below 30",A73&lt;40,"30-39",A73&lt;50,"40-49",TRUE,"50+")</f>
        <v>Below 30</v>
      </c>
    </row>
    <row r="74" spans="1:33" x14ac:dyDescent="0.35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 cm="1">
        <f t="array" ref="AG74">_xlfn.IFS(A74&lt;30,"Below 30",A74&lt;40,"30-39",A74&lt;50,"40-49",TRUE,"50+")</f>
        <v>30-39</v>
      </c>
    </row>
    <row r="75" spans="1:33" x14ac:dyDescent="0.35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 cm="1">
        <f t="array" ref="AG75">_xlfn.IFS(A75&lt;30,"Below 30",A75&lt;40,"30-39",A75&lt;50,"40-49",TRUE,"50+")</f>
        <v>30-39</v>
      </c>
    </row>
    <row r="76" spans="1:33" x14ac:dyDescent="0.35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 cm="1">
        <f t="array" ref="AG76">_xlfn.IFS(A76&lt;30,"Below 30",A76&lt;40,"30-39",A76&lt;50,"40-49",TRUE,"50+")</f>
        <v>30-39</v>
      </c>
    </row>
    <row r="77" spans="1:33" x14ac:dyDescent="0.35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 cm="1">
        <f t="array" ref="AG77">_xlfn.IFS(A77&lt;30,"Below 30",A77&lt;40,"30-39",A77&lt;50,"40-49",TRUE,"50+")</f>
        <v>30-39</v>
      </c>
    </row>
    <row r="78" spans="1:33" x14ac:dyDescent="0.35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 cm="1">
        <f t="array" ref="AG78">_xlfn.IFS(A78&lt;30,"Below 30",A78&lt;40,"30-39",A78&lt;50,"40-49",TRUE,"50+")</f>
        <v>30-39</v>
      </c>
    </row>
    <row r="79" spans="1:33" x14ac:dyDescent="0.35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 cm="1">
        <f t="array" ref="AG79">_xlfn.IFS(A79&lt;30,"Below 30",A79&lt;40,"30-39",A79&lt;50,"40-49",TRUE,"50+")</f>
        <v>40-49</v>
      </c>
    </row>
    <row r="80" spans="1:33" x14ac:dyDescent="0.35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 cm="1">
        <f t="array" ref="AG80">_xlfn.IFS(A80&lt;30,"Below 30",A80&lt;40,"30-39",A80&lt;50,"40-49",TRUE,"50+")</f>
        <v>30-39</v>
      </c>
    </row>
    <row r="81" spans="1:33" x14ac:dyDescent="0.35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 cm="1">
        <f t="array" ref="AG81">_xlfn.IFS(A81&lt;30,"Below 30",A81&lt;40,"30-39",A81&lt;50,"40-49",TRUE,"50+")</f>
        <v>40-49</v>
      </c>
    </row>
    <row r="82" spans="1:33" x14ac:dyDescent="0.35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 cm="1">
        <f t="array" ref="AG82">_xlfn.IFS(A82&lt;30,"Below 30",A82&lt;40,"30-39",A82&lt;50,"40-49",TRUE,"50+")</f>
        <v>30-39</v>
      </c>
    </row>
    <row r="83" spans="1:33" x14ac:dyDescent="0.35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 cm="1">
        <f t="array" ref="AG83">_xlfn.IFS(A83&lt;30,"Below 30",A83&lt;40,"30-39",A83&lt;50,"40-49",TRUE,"50+")</f>
        <v>30-39</v>
      </c>
    </row>
    <row r="84" spans="1:33" x14ac:dyDescent="0.35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 cm="1">
        <f t="array" ref="AG84">_xlfn.IFS(A84&lt;30,"Below 30",A84&lt;40,"30-39",A84&lt;50,"40-49",TRUE,"50+")</f>
        <v>50+</v>
      </c>
    </row>
    <row r="85" spans="1:33" x14ac:dyDescent="0.35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 cm="1">
        <f t="array" ref="AG85">_xlfn.IFS(A85&lt;30,"Below 30",A85&lt;40,"30-39",A85&lt;50,"40-49",TRUE,"50+")</f>
        <v>30-39</v>
      </c>
    </row>
    <row r="86" spans="1:33" x14ac:dyDescent="0.35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 cm="1">
        <f t="array" ref="AG86">_xlfn.IFS(A86&lt;30,"Below 30",A86&lt;40,"30-39",A86&lt;50,"40-49",TRUE,"50+")</f>
        <v>30-39</v>
      </c>
    </row>
    <row r="87" spans="1:33" x14ac:dyDescent="0.35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 cm="1">
        <f t="array" ref="AG87">_xlfn.IFS(A87&lt;30,"Below 30",A87&lt;40,"30-39",A87&lt;50,"40-49",TRUE,"50+")</f>
        <v>50+</v>
      </c>
    </row>
    <row r="88" spans="1:33" x14ac:dyDescent="0.35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 cm="1">
        <f t="array" ref="AG88">_xlfn.IFS(A88&lt;30,"Below 30",A88&lt;40,"30-39",A88&lt;50,"40-49",TRUE,"50+")</f>
        <v>Below 30</v>
      </c>
    </row>
    <row r="89" spans="1:33" x14ac:dyDescent="0.35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 cm="1">
        <f t="array" ref="AG89">_xlfn.IFS(A89&lt;30,"Below 30",A89&lt;40,"30-39",A89&lt;50,"40-49",TRUE,"50+")</f>
        <v>50+</v>
      </c>
    </row>
    <row r="90" spans="1:33" x14ac:dyDescent="0.35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 cm="1">
        <f t="array" ref="AG90">_xlfn.IFS(A90&lt;30,"Below 30",A90&lt;40,"30-39",A90&lt;50,"40-49",TRUE,"50+")</f>
        <v>30-39</v>
      </c>
    </row>
    <row r="91" spans="1:33" x14ac:dyDescent="0.35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 cm="1">
        <f t="array" ref="AG91">_xlfn.IFS(A91&lt;30,"Below 30",A91&lt;40,"30-39",A91&lt;50,"40-49",TRUE,"50+")</f>
        <v>40-49</v>
      </c>
    </row>
    <row r="92" spans="1:33" x14ac:dyDescent="0.35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 cm="1">
        <f t="array" ref="AG92">_xlfn.IFS(A92&lt;30,"Below 30",A92&lt;40,"30-39",A92&lt;50,"40-49",TRUE,"50+")</f>
        <v>40-49</v>
      </c>
    </row>
    <row r="93" spans="1:33" x14ac:dyDescent="0.35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 cm="1">
        <f t="array" ref="AG93">_xlfn.IFS(A93&lt;30,"Below 30",A93&lt;40,"30-39",A93&lt;50,"40-49",TRUE,"50+")</f>
        <v>50+</v>
      </c>
    </row>
    <row r="94" spans="1:33" x14ac:dyDescent="0.35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 cm="1">
        <f t="array" ref="AG94">_xlfn.IFS(A94&lt;30,"Below 30",A94&lt;40,"30-39",A94&lt;50,"40-49",TRUE,"50+")</f>
        <v>30-39</v>
      </c>
    </row>
    <row r="95" spans="1:33" x14ac:dyDescent="0.35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 cm="1">
        <f t="array" ref="AG95">_xlfn.IFS(A95&lt;30,"Below 30",A95&lt;40,"30-39",A95&lt;50,"40-49",TRUE,"50+")</f>
        <v>40-49</v>
      </c>
    </row>
    <row r="96" spans="1:33" x14ac:dyDescent="0.35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 cm="1">
        <f t="array" ref="AG96">_xlfn.IFS(A96&lt;30,"Below 30",A96&lt;40,"30-39",A96&lt;50,"40-49",TRUE,"50+")</f>
        <v>30-39</v>
      </c>
    </row>
    <row r="97" spans="1:33" x14ac:dyDescent="0.35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 cm="1">
        <f t="array" ref="AG97">_xlfn.IFS(A97&lt;30,"Below 30",A97&lt;40,"30-39",A97&lt;50,"40-49",TRUE,"50+")</f>
        <v>50+</v>
      </c>
    </row>
    <row r="98" spans="1:33" x14ac:dyDescent="0.35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 cm="1">
        <f t="array" ref="AG98">_xlfn.IFS(A98&lt;30,"Below 30",A98&lt;40,"30-39",A98&lt;50,"40-49",TRUE,"50+")</f>
        <v>Below 30</v>
      </c>
    </row>
    <row r="99" spans="1:33" x14ac:dyDescent="0.35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 cm="1">
        <f t="array" ref="AG99">_xlfn.IFS(A99&lt;30,"Below 30",A99&lt;40,"30-39",A99&lt;50,"40-49",TRUE,"50+")</f>
        <v>Below 30</v>
      </c>
    </row>
    <row r="100" spans="1:33" x14ac:dyDescent="0.35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 cm="1">
        <f t="array" ref="AG100">_xlfn.IFS(A100&lt;30,"Below 30",A100&lt;40,"30-39",A100&lt;50,"40-49",TRUE,"50+")</f>
        <v>50+</v>
      </c>
    </row>
    <row r="101" spans="1:33" x14ac:dyDescent="0.35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 cm="1">
        <f t="array" ref="AG101">_xlfn.IFS(A101&lt;30,"Below 30",A101&lt;40,"30-39",A101&lt;50,"40-49",TRUE,"50+")</f>
        <v>40-49</v>
      </c>
    </row>
    <row r="102" spans="1:33" x14ac:dyDescent="0.35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 cm="1">
        <f t="array" ref="AG102">_xlfn.IFS(A102&lt;30,"Below 30",A102&lt;40,"30-39",A102&lt;50,"40-49",TRUE,"50+")</f>
        <v>30-39</v>
      </c>
    </row>
    <row r="103" spans="1:33" x14ac:dyDescent="0.35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 cm="1">
        <f t="array" ref="AG103">_xlfn.IFS(A103&lt;30,"Below 30",A103&lt;40,"30-39",A103&lt;50,"40-49",TRUE,"50+")</f>
        <v>30-39</v>
      </c>
    </row>
    <row r="104" spans="1:33" x14ac:dyDescent="0.35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 cm="1">
        <f t="array" ref="AG104">_xlfn.IFS(A104&lt;30,"Below 30",A104&lt;40,"30-39",A104&lt;50,"40-49",TRUE,"50+")</f>
        <v>Below 30</v>
      </c>
    </row>
    <row r="105" spans="1:33" x14ac:dyDescent="0.35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 cm="1">
        <f t="array" ref="AG105">_xlfn.IFS(A105&lt;30,"Below 30",A105&lt;40,"30-39",A105&lt;50,"40-49",TRUE,"50+")</f>
        <v>30-39</v>
      </c>
    </row>
    <row r="106" spans="1:33" x14ac:dyDescent="0.35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 cm="1">
        <f t="array" ref="AG106">_xlfn.IFS(A106&lt;30,"Below 30",A106&lt;40,"30-39",A106&lt;50,"40-49",TRUE,"50+")</f>
        <v>30-39</v>
      </c>
    </row>
    <row r="107" spans="1:33" x14ac:dyDescent="0.35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 cm="1">
        <f t="array" ref="AG107">_xlfn.IFS(A107&lt;30,"Below 30",A107&lt;40,"30-39",A107&lt;50,"40-49",TRUE,"50+")</f>
        <v>50+</v>
      </c>
    </row>
    <row r="108" spans="1:33" x14ac:dyDescent="0.35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 cm="1">
        <f t="array" ref="AG108">_xlfn.IFS(A108&lt;30,"Below 30",A108&lt;40,"30-39",A108&lt;50,"40-49",TRUE,"50+")</f>
        <v>50+</v>
      </c>
    </row>
    <row r="109" spans="1:33" x14ac:dyDescent="0.35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 cm="1">
        <f t="array" ref="AG109">_xlfn.IFS(A109&lt;30,"Below 30",A109&lt;40,"30-39",A109&lt;50,"40-49",TRUE,"50+")</f>
        <v>Below 30</v>
      </c>
    </row>
    <row r="110" spans="1:33" x14ac:dyDescent="0.35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 cm="1">
        <f t="array" ref="AG110">_xlfn.IFS(A110&lt;30,"Below 30",A110&lt;40,"30-39",A110&lt;50,"40-49",TRUE,"50+")</f>
        <v>Below 30</v>
      </c>
    </row>
    <row r="111" spans="1:33" x14ac:dyDescent="0.35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 cm="1">
        <f t="array" ref="AG111">_xlfn.IFS(A111&lt;30,"Below 30",A111&lt;40,"30-39",A111&lt;50,"40-49",TRUE,"50+")</f>
        <v>Below 30</v>
      </c>
    </row>
    <row r="112" spans="1:33" x14ac:dyDescent="0.35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 cm="1">
        <f t="array" ref="AG112">_xlfn.IFS(A112&lt;30,"Below 30",A112&lt;40,"30-39",A112&lt;50,"40-49",TRUE,"50+")</f>
        <v>50+</v>
      </c>
    </row>
    <row r="113" spans="1:33" x14ac:dyDescent="0.35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 cm="1">
        <f t="array" ref="AG113">_xlfn.IFS(A113&lt;30,"Below 30",A113&lt;40,"30-39",A113&lt;50,"40-49",TRUE,"50+")</f>
        <v>30-39</v>
      </c>
    </row>
    <row r="114" spans="1:33" x14ac:dyDescent="0.35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 cm="1">
        <f t="array" ref="AG114">_xlfn.IFS(A114&lt;30,"Below 30",A114&lt;40,"30-39",A114&lt;50,"40-49",TRUE,"50+")</f>
        <v>50+</v>
      </c>
    </row>
    <row r="115" spans="1:33" x14ac:dyDescent="0.35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 cm="1">
        <f t="array" ref="AG115">_xlfn.IFS(A115&lt;30,"Below 30",A115&lt;40,"30-39",A115&lt;50,"40-49",TRUE,"50+")</f>
        <v>Below 30</v>
      </c>
    </row>
    <row r="116" spans="1:33" x14ac:dyDescent="0.35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 cm="1">
        <f t="array" ref="AG116">_xlfn.IFS(A116&lt;30,"Below 30",A116&lt;40,"30-39",A116&lt;50,"40-49",TRUE,"50+")</f>
        <v>30-39</v>
      </c>
    </row>
    <row r="117" spans="1:33" x14ac:dyDescent="0.35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 cm="1">
        <f t="array" ref="AG117">_xlfn.IFS(A117&lt;30,"Below 30",A117&lt;40,"30-39",A117&lt;50,"40-49",TRUE,"50+")</f>
        <v>30-39</v>
      </c>
    </row>
    <row r="118" spans="1:33" x14ac:dyDescent="0.35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 cm="1">
        <f t="array" ref="AG118">_xlfn.IFS(A118&lt;30,"Below 30",A118&lt;40,"30-39",A118&lt;50,"40-49",TRUE,"50+")</f>
        <v>30-39</v>
      </c>
    </row>
    <row r="119" spans="1:33" x14ac:dyDescent="0.35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 cm="1">
        <f t="array" ref="AG119">_xlfn.IFS(A119&lt;30,"Below 30",A119&lt;40,"30-39",A119&lt;50,"40-49",TRUE,"50+")</f>
        <v>30-39</v>
      </c>
    </row>
    <row r="120" spans="1:33" x14ac:dyDescent="0.35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 cm="1">
        <f t="array" ref="AG120">_xlfn.IFS(A120&lt;30,"Below 30",A120&lt;40,"30-39",A120&lt;50,"40-49",TRUE,"50+")</f>
        <v>30-39</v>
      </c>
    </row>
    <row r="121" spans="1:33" x14ac:dyDescent="0.35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 cm="1">
        <f t="array" ref="AG121">_xlfn.IFS(A121&lt;30,"Below 30",A121&lt;40,"30-39",A121&lt;50,"40-49",TRUE,"50+")</f>
        <v>40-49</v>
      </c>
    </row>
    <row r="122" spans="1:33" x14ac:dyDescent="0.35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 cm="1">
        <f t="array" ref="AG122">_xlfn.IFS(A122&lt;30,"Below 30",A122&lt;40,"30-39",A122&lt;50,"40-49",TRUE,"50+")</f>
        <v>30-39</v>
      </c>
    </row>
    <row r="123" spans="1:33" x14ac:dyDescent="0.35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 cm="1">
        <f t="array" ref="AG123">_xlfn.IFS(A123&lt;30,"Below 30",A123&lt;40,"30-39",A123&lt;50,"40-49",TRUE,"50+")</f>
        <v>30-39</v>
      </c>
    </row>
    <row r="124" spans="1:33" x14ac:dyDescent="0.35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 cm="1">
        <f t="array" ref="AG124">_xlfn.IFS(A124&lt;30,"Below 30",A124&lt;40,"30-39",A124&lt;50,"40-49",TRUE,"50+")</f>
        <v>50+</v>
      </c>
    </row>
    <row r="125" spans="1:33" x14ac:dyDescent="0.35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 cm="1">
        <f t="array" ref="AG125">_xlfn.IFS(A125&lt;30,"Below 30",A125&lt;40,"30-39",A125&lt;50,"40-49",TRUE,"50+")</f>
        <v>50+</v>
      </c>
    </row>
    <row r="126" spans="1:33" x14ac:dyDescent="0.35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 cm="1">
        <f t="array" ref="AG126">_xlfn.IFS(A126&lt;30,"Below 30",A126&lt;40,"30-39",A126&lt;50,"40-49",TRUE,"50+")</f>
        <v>30-39</v>
      </c>
    </row>
    <row r="127" spans="1:33" x14ac:dyDescent="0.35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 cm="1">
        <f t="array" ref="AG127">_xlfn.IFS(A127&lt;30,"Below 30",A127&lt;40,"30-39",A127&lt;50,"40-49",TRUE,"50+")</f>
        <v>Below 30</v>
      </c>
    </row>
    <row r="128" spans="1:33" x14ac:dyDescent="0.35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 cm="1">
        <f t="array" ref="AG128">_xlfn.IFS(A128&lt;30,"Below 30",A128&lt;40,"30-39",A128&lt;50,"40-49",TRUE,"50+")</f>
        <v>50+</v>
      </c>
    </row>
    <row r="129" spans="1:33" x14ac:dyDescent="0.35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 cm="1">
        <f t="array" ref="AG129">_xlfn.IFS(A129&lt;30,"Below 30",A129&lt;40,"30-39",A129&lt;50,"40-49",TRUE,"50+")</f>
        <v>Below 30</v>
      </c>
    </row>
    <row r="130" spans="1:33" x14ac:dyDescent="0.35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 cm="1">
        <f t="array" ref="AG130">_xlfn.IFS(A130&lt;30,"Below 30",A130&lt;40,"30-39",A130&lt;50,"40-49",TRUE,"50+")</f>
        <v>Below 30</v>
      </c>
    </row>
    <row r="131" spans="1:33" x14ac:dyDescent="0.35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 cm="1">
        <f t="array" ref="AG131">_xlfn.IFS(A131&lt;30,"Below 30",A131&lt;40,"30-39",A131&lt;50,"40-49",TRUE,"50+")</f>
        <v>40-49</v>
      </c>
    </row>
    <row r="132" spans="1:33" x14ac:dyDescent="0.35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 cm="1">
        <f t="array" ref="AG132">_xlfn.IFS(A132&lt;30,"Below 30",A132&lt;40,"30-39",A132&lt;50,"40-49",TRUE,"50+")</f>
        <v>40-49</v>
      </c>
    </row>
    <row r="133" spans="1:33" x14ac:dyDescent="0.35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 cm="1">
        <f t="array" ref="AG133">_xlfn.IFS(A133&lt;30,"Below 30",A133&lt;40,"30-39",A133&lt;50,"40-49",TRUE,"50+")</f>
        <v>50+</v>
      </c>
    </row>
    <row r="134" spans="1:33" x14ac:dyDescent="0.35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 cm="1">
        <f t="array" ref="AG134">_xlfn.IFS(A134&lt;30,"Below 30",A134&lt;40,"30-39",A134&lt;50,"40-49",TRUE,"50+")</f>
        <v>30-39</v>
      </c>
    </row>
    <row r="135" spans="1:33" x14ac:dyDescent="0.35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 cm="1">
        <f t="array" ref="AG135">_xlfn.IFS(A135&lt;30,"Below 30",A135&lt;40,"30-39",A135&lt;50,"40-49",TRUE,"50+")</f>
        <v>40-49</v>
      </c>
    </row>
    <row r="136" spans="1:33" x14ac:dyDescent="0.35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 cm="1">
        <f t="array" ref="AG136">_xlfn.IFS(A136&lt;30,"Below 30",A136&lt;40,"30-39",A136&lt;50,"40-49",TRUE,"50+")</f>
        <v>Below 30</v>
      </c>
    </row>
    <row r="137" spans="1:33" x14ac:dyDescent="0.35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 cm="1">
        <f t="array" ref="AG137">_xlfn.IFS(A137&lt;30,"Below 30",A137&lt;40,"30-39",A137&lt;50,"40-49",TRUE,"50+")</f>
        <v>30-39</v>
      </c>
    </row>
    <row r="138" spans="1:33" x14ac:dyDescent="0.35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 cm="1">
        <f t="array" ref="AG138">_xlfn.IFS(A138&lt;30,"Below 30",A138&lt;40,"30-39",A138&lt;50,"40-49",TRUE,"50+")</f>
        <v>50+</v>
      </c>
    </row>
    <row r="139" spans="1:33" x14ac:dyDescent="0.35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 cm="1">
        <f t="array" ref="AG139">_xlfn.IFS(A139&lt;30,"Below 30",A139&lt;40,"30-39",A139&lt;50,"40-49",TRUE,"50+")</f>
        <v>30-39</v>
      </c>
    </row>
    <row r="140" spans="1:33" x14ac:dyDescent="0.35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 cm="1">
        <f t="array" ref="AG140">_xlfn.IFS(A140&lt;30,"Below 30",A140&lt;40,"30-39",A140&lt;50,"40-49",TRUE,"50+")</f>
        <v>Below 30</v>
      </c>
    </row>
    <row r="141" spans="1:33" x14ac:dyDescent="0.35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 cm="1">
        <f t="array" ref="AG141">_xlfn.IFS(A141&lt;30,"Below 30",A141&lt;40,"30-39",A141&lt;50,"40-49",TRUE,"50+")</f>
        <v>30-39</v>
      </c>
    </row>
    <row r="142" spans="1:33" x14ac:dyDescent="0.35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 cm="1">
        <f t="array" ref="AG142">_xlfn.IFS(A142&lt;30,"Below 30",A142&lt;40,"30-39",A142&lt;50,"40-49",TRUE,"50+")</f>
        <v>30-39</v>
      </c>
    </row>
    <row r="143" spans="1:33" x14ac:dyDescent="0.35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 cm="1">
        <f t="array" ref="AG143">_xlfn.IFS(A143&lt;30,"Below 30",A143&lt;40,"30-39",A143&lt;50,"40-49",TRUE,"50+")</f>
        <v>40-49</v>
      </c>
    </row>
    <row r="144" spans="1:33" x14ac:dyDescent="0.35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 cm="1">
        <f t="array" ref="AG144">_xlfn.IFS(A144&lt;30,"Below 30",A144&lt;40,"30-39",A144&lt;50,"40-49",TRUE,"50+")</f>
        <v>30-39</v>
      </c>
    </row>
    <row r="145" spans="1:33" x14ac:dyDescent="0.35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 cm="1">
        <f t="array" ref="AG145">_xlfn.IFS(A145&lt;30,"Below 30",A145&lt;40,"30-39",A145&lt;50,"40-49",TRUE,"50+")</f>
        <v>30-39</v>
      </c>
    </row>
    <row r="146" spans="1:33" x14ac:dyDescent="0.35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 cm="1">
        <f t="array" ref="AG146">_xlfn.IFS(A146&lt;30,"Below 30",A146&lt;40,"30-39",A146&lt;50,"40-49",TRUE,"50+")</f>
        <v>30-39</v>
      </c>
    </row>
    <row r="147" spans="1:33" x14ac:dyDescent="0.35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 cm="1">
        <f t="array" ref="AG147">_xlfn.IFS(A147&lt;30,"Below 30",A147&lt;40,"30-39",A147&lt;50,"40-49",TRUE,"50+")</f>
        <v>30-39</v>
      </c>
    </row>
    <row r="148" spans="1:33" x14ac:dyDescent="0.35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 cm="1">
        <f t="array" ref="AG148">_xlfn.IFS(A148&lt;30,"Below 30",A148&lt;40,"30-39",A148&lt;50,"40-49",TRUE,"50+")</f>
        <v>30-39</v>
      </c>
    </row>
    <row r="149" spans="1:33" x14ac:dyDescent="0.35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 cm="1">
        <f t="array" ref="AG149">_xlfn.IFS(A149&lt;30,"Below 30",A149&lt;40,"30-39",A149&lt;50,"40-49",TRUE,"50+")</f>
        <v>40-49</v>
      </c>
    </row>
    <row r="150" spans="1:33" x14ac:dyDescent="0.35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 cm="1">
        <f t="array" ref="AG150">_xlfn.IFS(A150&lt;30,"Below 30",A150&lt;40,"30-39",A150&lt;50,"40-49",TRUE,"50+")</f>
        <v>40-49</v>
      </c>
    </row>
    <row r="151" spans="1:33" x14ac:dyDescent="0.35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 cm="1">
        <f t="array" ref="AG151">_xlfn.IFS(A151&lt;30,"Below 30",A151&lt;40,"30-39",A151&lt;50,"40-49",TRUE,"50+")</f>
        <v>Below 30</v>
      </c>
    </row>
    <row r="152" spans="1:33" x14ac:dyDescent="0.35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 cm="1">
        <f t="array" ref="AG152">_xlfn.IFS(A152&lt;30,"Below 30",A152&lt;40,"30-39",A152&lt;50,"40-49",TRUE,"50+")</f>
        <v>40-49</v>
      </c>
    </row>
    <row r="153" spans="1:33" x14ac:dyDescent="0.35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 cm="1">
        <f t="array" ref="AG153">_xlfn.IFS(A153&lt;30,"Below 30",A153&lt;40,"30-39",A153&lt;50,"40-49",TRUE,"50+")</f>
        <v>30-39</v>
      </c>
    </row>
    <row r="154" spans="1:33" x14ac:dyDescent="0.35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 cm="1">
        <f t="array" ref="AG154">_xlfn.IFS(A154&lt;30,"Below 30",A154&lt;40,"30-39",A154&lt;50,"40-49",TRUE,"50+")</f>
        <v>50+</v>
      </c>
    </row>
    <row r="155" spans="1:33" x14ac:dyDescent="0.35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 cm="1">
        <f t="array" ref="AG155">_xlfn.IFS(A155&lt;30,"Below 30",A155&lt;40,"30-39",A155&lt;50,"40-49",TRUE,"50+")</f>
        <v>40-49</v>
      </c>
    </row>
    <row r="156" spans="1:33" x14ac:dyDescent="0.35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 cm="1">
        <f t="array" ref="AG156">_xlfn.IFS(A156&lt;30,"Below 30",A156&lt;40,"30-39",A156&lt;50,"40-49",TRUE,"50+")</f>
        <v>30-39</v>
      </c>
    </row>
    <row r="157" spans="1:33" x14ac:dyDescent="0.35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 cm="1">
        <f t="array" ref="AG157">_xlfn.IFS(A157&lt;30,"Below 30",A157&lt;40,"30-39",A157&lt;50,"40-49",TRUE,"50+")</f>
        <v>Below 30</v>
      </c>
    </row>
    <row r="158" spans="1:33" x14ac:dyDescent="0.35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 cm="1">
        <f t="array" ref="AG158">_xlfn.IFS(A158&lt;30,"Below 30",A158&lt;40,"30-39",A158&lt;50,"40-49",TRUE,"50+")</f>
        <v>50+</v>
      </c>
    </row>
    <row r="159" spans="1:33" x14ac:dyDescent="0.35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 cm="1">
        <f t="array" ref="AG159">_xlfn.IFS(A159&lt;30,"Below 30",A159&lt;40,"30-39",A159&lt;50,"40-49",TRUE,"50+")</f>
        <v>50+</v>
      </c>
    </row>
    <row r="160" spans="1:33" x14ac:dyDescent="0.35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 cm="1">
        <f t="array" ref="AG160">_xlfn.IFS(A160&lt;30,"Below 30",A160&lt;40,"30-39",A160&lt;50,"40-49",TRUE,"50+")</f>
        <v>40-49</v>
      </c>
    </row>
    <row r="161" spans="1:33" x14ac:dyDescent="0.35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 cm="1">
        <f t="array" ref="AG161">_xlfn.IFS(A161&lt;30,"Below 30",A161&lt;40,"30-39",A161&lt;50,"40-49",TRUE,"50+")</f>
        <v>30-39</v>
      </c>
    </row>
    <row r="162" spans="1:33" x14ac:dyDescent="0.35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 cm="1">
        <f t="array" ref="AG162">_xlfn.IFS(A162&lt;30,"Below 30",A162&lt;40,"30-39",A162&lt;50,"40-49",TRUE,"50+")</f>
        <v>Below 30</v>
      </c>
    </row>
    <row r="163" spans="1:33" x14ac:dyDescent="0.35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 cm="1">
        <f t="array" ref="AG163">_xlfn.IFS(A163&lt;30,"Below 30",A163&lt;40,"30-39",A163&lt;50,"40-49",TRUE,"50+")</f>
        <v>Below 30</v>
      </c>
    </row>
    <row r="164" spans="1:33" x14ac:dyDescent="0.35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 cm="1">
        <f t="array" ref="AG164">_xlfn.IFS(A164&lt;30,"Below 30",A164&lt;40,"30-39",A164&lt;50,"40-49",TRUE,"50+")</f>
        <v>Below 30</v>
      </c>
    </row>
    <row r="165" spans="1:33" x14ac:dyDescent="0.35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 cm="1">
        <f t="array" ref="AG165">_xlfn.IFS(A165&lt;30,"Below 30",A165&lt;40,"30-39",A165&lt;50,"40-49",TRUE,"50+")</f>
        <v>50+</v>
      </c>
    </row>
    <row r="166" spans="1:33" x14ac:dyDescent="0.35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 cm="1">
        <f t="array" ref="AG166">_xlfn.IFS(A166&lt;30,"Below 30",A166&lt;40,"30-39",A166&lt;50,"40-49",TRUE,"50+")</f>
        <v>Below 30</v>
      </c>
    </row>
    <row r="167" spans="1:33" x14ac:dyDescent="0.35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 cm="1">
        <f t="array" ref="AG167">_xlfn.IFS(A167&lt;30,"Below 30",A167&lt;40,"30-39",A167&lt;50,"40-49",TRUE,"50+")</f>
        <v>50+</v>
      </c>
    </row>
    <row r="168" spans="1:33" x14ac:dyDescent="0.35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 cm="1">
        <f t="array" ref="AG168">_xlfn.IFS(A168&lt;30,"Below 30",A168&lt;40,"30-39",A168&lt;50,"40-49",TRUE,"50+")</f>
        <v>40-49</v>
      </c>
    </row>
    <row r="169" spans="1:33" x14ac:dyDescent="0.35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 cm="1">
        <f t="array" ref="AG169">_xlfn.IFS(A169&lt;30,"Below 30",A169&lt;40,"30-39",A169&lt;50,"40-49",TRUE,"50+")</f>
        <v>30-39</v>
      </c>
    </row>
    <row r="170" spans="1:33" x14ac:dyDescent="0.35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 cm="1">
        <f t="array" ref="AG170">_xlfn.IFS(A170&lt;30,"Below 30",A170&lt;40,"30-39",A170&lt;50,"40-49",TRUE,"50+")</f>
        <v>30-39</v>
      </c>
    </row>
    <row r="171" spans="1:33" x14ac:dyDescent="0.35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 cm="1">
        <f t="array" ref="AG171">_xlfn.IFS(A171&lt;30,"Below 30",A171&lt;40,"30-39",A171&lt;50,"40-49",TRUE,"50+")</f>
        <v>30-39</v>
      </c>
    </row>
    <row r="172" spans="1:33" x14ac:dyDescent="0.35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 cm="1">
        <f t="array" ref="AG172">_xlfn.IFS(A172&lt;30,"Below 30",A172&lt;40,"30-39",A172&lt;50,"40-49",TRUE,"50+")</f>
        <v>Below 30</v>
      </c>
    </row>
    <row r="173" spans="1:33" x14ac:dyDescent="0.35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 cm="1">
        <f t="array" ref="AG173">_xlfn.IFS(A173&lt;30,"Below 30",A173&lt;40,"30-39",A173&lt;50,"40-49",TRUE,"50+")</f>
        <v>Below 30</v>
      </c>
    </row>
    <row r="174" spans="1:33" x14ac:dyDescent="0.35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 cm="1">
        <f t="array" ref="AG174">_xlfn.IFS(A174&lt;30,"Below 30",A174&lt;40,"30-39",A174&lt;50,"40-49",TRUE,"50+")</f>
        <v>30-39</v>
      </c>
    </row>
    <row r="175" spans="1:33" x14ac:dyDescent="0.35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 cm="1">
        <f t="array" ref="AG175">_xlfn.IFS(A175&lt;30,"Below 30",A175&lt;40,"30-39",A175&lt;50,"40-49",TRUE,"50+")</f>
        <v>30-39</v>
      </c>
    </row>
    <row r="176" spans="1:33" x14ac:dyDescent="0.35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 cm="1">
        <f t="array" ref="AG176">_xlfn.IFS(A176&lt;30,"Below 30",A176&lt;40,"30-39",A176&lt;50,"40-49",TRUE,"50+")</f>
        <v>40-49</v>
      </c>
    </row>
    <row r="177" spans="1:33" x14ac:dyDescent="0.35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 cm="1">
        <f t="array" ref="AG177">_xlfn.IFS(A177&lt;30,"Below 30",A177&lt;40,"30-39",A177&lt;50,"40-49",TRUE,"50+")</f>
        <v>50+</v>
      </c>
    </row>
    <row r="178" spans="1:33" x14ac:dyDescent="0.35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 cm="1">
        <f t="array" ref="AG178">_xlfn.IFS(A178&lt;30,"Below 30",A178&lt;40,"30-39",A178&lt;50,"40-49",TRUE,"50+")</f>
        <v>30-39</v>
      </c>
    </row>
    <row r="179" spans="1:33" x14ac:dyDescent="0.35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 cm="1">
        <f t="array" ref="AG179">_xlfn.IFS(A179&lt;30,"Below 30",A179&lt;40,"30-39",A179&lt;50,"40-49",TRUE,"50+")</f>
        <v>Below 30</v>
      </c>
    </row>
    <row r="180" spans="1:33" x14ac:dyDescent="0.35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 cm="1">
        <f t="array" ref="AG180">_xlfn.IFS(A180&lt;30,"Below 30",A180&lt;40,"30-39",A180&lt;50,"40-49",TRUE,"50+")</f>
        <v>40-49</v>
      </c>
    </row>
    <row r="181" spans="1:33" x14ac:dyDescent="0.35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 cm="1">
        <f t="array" ref="AG181">_xlfn.IFS(A181&lt;30,"Below 30",A181&lt;40,"30-39",A181&lt;50,"40-49",TRUE,"50+")</f>
        <v>30-39</v>
      </c>
    </row>
    <row r="182" spans="1:33" x14ac:dyDescent="0.35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 cm="1">
        <f t="array" ref="AG182">_xlfn.IFS(A182&lt;30,"Below 30",A182&lt;40,"30-39",A182&lt;50,"40-49",TRUE,"50+")</f>
        <v>30-39</v>
      </c>
    </row>
    <row r="183" spans="1:33" x14ac:dyDescent="0.35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 cm="1">
        <f t="array" ref="AG183">_xlfn.IFS(A183&lt;30,"Below 30",A183&lt;40,"30-39",A183&lt;50,"40-49",TRUE,"50+")</f>
        <v>30-39</v>
      </c>
    </row>
    <row r="184" spans="1:33" x14ac:dyDescent="0.35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 cm="1">
        <f t="array" ref="AG184">_xlfn.IFS(A184&lt;30,"Below 30",A184&lt;40,"30-39",A184&lt;50,"40-49",TRUE,"50+")</f>
        <v>40-49</v>
      </c>
    </row>
    <row r="185" spans="1:33" x14ac:dyDescent="0.35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 cm="1">
        <f t="array" ref="AG185">_xlfn.IFS(A185&lt;30,"Below 30",A185&lt;40,"30-39",A185&lt;50,"40-49",TRUE,"50+")</f>
        <v>50+</v>
      </c>
    </row>
    <row r="186" spans="1:33" x14ac:dyDescent="0.35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 cm="1">
        <f t="array" ref="AG186">_xlfn.IFS(A186&lt;30,"Below 30",A186&lt;40,"30-39",A186&lt;50,"40-49",TRUE,"50+")</f>
        <v>50+</v>
      </c>
    </row>
    <row r="187" spans="1:33" x14ac:dyDescent="0.35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 cm="1">
        <f t="array" ref="AG187">_xlfn.IFS(A187&lt;30,"Below 30",A187&lt;40,"30-39",A187&lt;50,"40-49",TRUE,"50+")</f>
        <v>30-39</v>
      </c>
    </row>
    <row r="188" spans="1:33" x14ac:dyDescent="0.35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 cm="1">
        <f t="array" ref="AG188">_xlfn.IFS(A188&lt;30,"Below 30",A188&lt;40,"30-39",A188&lt;50,"40-49",TRUE,"50+")</f>
        <v>40-49</v>
      </c>
    </row>
    <row r="189" spans="1:33" x14ac:dyDescent="0.35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 cm="1">
        <f t="array" ref="AG189">_xlfn.IFS(A189&lt;30,"Below 30",A189&lt;40,"30-39",A189&lt;50,"40-49",TRUE,"50+")</f>
        <v>50+</v>
      </c>
    </row>
    <row r="190" spans="1:33" x14ac:dyDescent="0.35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 cm="1">
        <f t="array" ref="AG190">_xlfn.IFS(A190&lt;30,"Below 30",A190&lt;40,"30-39",A190&lt;50,"40-49",TRUE,"50+")</f>
        <v>30-39</v>
      </c>
    </row>
    <row r="191" spans="1:33" x14ac:dyDescent="0.35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 cm="1">
        <f t="array" ref="AG191">_xlfn.IFS(A191&lt;30,"Below 30",A191&lt;40,"30-39",A191&lt;50,"40-49",TRUE,"50+")</f>
        <v>50+</v>
      </c>
    </row>
    <row r="192" spans="1:33" x14ac:dyDescent="0.35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 cm="1">
        <f t="array" ref="AG192">_xlfn.IFS(A192&lt;30,"Below 30",A192&lt;40,"30-39",A192&lt;50,"40-49",TRUE,"50+")</f>
        <v>50+</v>
      </c>
    </row>
    <row r="193" spans="1:33" x14ac:dyDescent="0.35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 cm="1">
        <f t="array" ref="AG193">_xlfn.IFS(A193&lt;30,"Below 30",A193&lt;40,"30-39",A193&lt;50,"40-49",TRUE,"50+")</f>
        <v>Below 30</v>
      </c>
    </row>
    <row r="194" spans="1:33" x14ac:dyDescent="0.35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 cm="1">
        <f t="array" ref="AG194">_xlfn.IFS(A194&lt;30,"Below 30",A194&lt;40,"30-39",A194&lt;50,"40-49",TRUE,"50+")</f>
        <v>30-39</v>
      </c>
    </row>
    <row r="195" spans="1:33" x14ac:dyDescent="0.35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 cm="1">
        <f t="array" ref="AG195">_xlfn.IFS(A195&lt;30,"Below 30",A195&lt;40,"30-39",A195&lt;50,"40-49",TRUE,"50+")</f>
        <v>40-49</v>
      </c>
    </row>
    <row r="196" spans="1:33" x14ac:dyDescent="0.35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 cm="1">
        <f t="array" ref="AG196">_xlfn.IFS(A196&lt;30,"Below 30",A196&lt;40,"30-39",A196&lt;50,"40-49",TRUE,"50+")</f>
        <v>40-49</v>
      </c>
    </row>
    <row r="197" spans="1:33" x14ac:dyDescent="0.35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 cm="1">
        <f t="array" ref="AG197">_xlfn.IFS(A197&lt;30,"Below 30",A197&lt;40,"30-39",A197&lt;50,"40-49",TRUE,"50+")</f>
        <v>30-39</v>
      </c>
    </row>
    <row r="198" spans="1:33" x14ac:dyDescent="0.35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 cm="1">
        <f t="array" ref="AG198">_xlfn.IFS(A198&lt;30,"Below 30",A198&lt;40,"30-39",A198&lt;50,"40-49",TRUE,"50+")</f>
        <v>30-39</v>
      </c>
    </row>
    <row r="199" spans="1:33" x14ac:dyDescent="0.35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 cm="1">
        <f t="array" ref="AG199">_xlfn.IFS(A199&lt;30,"Below 30",A199&lt;40,"30-39",A199&lt;50,"40-49",TRUE,"50+")</f>
        <v>40-49</v>
      </c>
    </row>
    <row r="200" spans="1:33" x14ac:dyDescent="0.35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 cm="1">
        <f t="array" ref="AG200">_xlfn.IFS(A200&lt;30,"Below 30",A200&lt;40,"30-39",A200&lt;50,"40-49",TRUE,"50+")</f>
        <v>30-39</v>
      </c>
    </row>
    <row r="201" spans="1:33" x14ac:dyDescent="0.35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 cm="1">
        <f t="array" ref="AG201">_xlfn.IFS(A201&lt;30,"Below 30",A201&lt;40,"30-39",A201&lt;50,"40-49",TRUE,"50+")</f>
        <v>30-39</v>
      </c>
    </row>
    <row r="202" spans="1:33" x14ac:dyDescent="0.35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 cm="1">
        <f t="array" ref="AG202">_xlfn.IFS(A202&lt;30,"Below 30",A202&lt;40,"30-39",A202&lt;50,"40-49",TRUE,"50+")</f>
        <v>Below 30</v>
      </c>
    </row>
    <row r="203" spans="1:33" x14ac:dyDescent="0.35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 cm="1">
        <f t="array" ref="AG203">_xlfn.IFS(A203&lt;30,"Below 30",A203&lt;40,"30-39",A203&lt;50,"40-49",TRUE,"50+")</f>
        <v>40-49</v>
      </c>
    </row>
    <row r="204" spans="1:33" x14ac:dyDescent="0.35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 cm="1">
        <f t="array" ref="AG204">_xlfn.IFS(A204&lt;30,"Below 30",A204&lt;40,"30-39",A204&lt;50,"40-49",TRUE,"50+")</f>
        <v>30-39</v>
      </c>
    </row>
    <row r="205" spans="1:33" x14ac:dyDescent="0.35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 cm="1">
        <f t="array" ref="AG205">_xlfn.IFS(A205&lt;30,"Below 30",A205&lt;40,"30-39",A205&lt;50,"40-49",TRUE,"50+")</f>
        <v>40-49</v>
      </c>
    </row>
    <row r="206" spans="1:33" x14ac:dyDescent="0.35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 cm="1">
        <f t="array" ref="AG206">_xlfn.IFS(A206&lt;30,"Below 30",A206&lt;40,"30-39",A206&lt;50,"40-49",TRUE,"50+")</f>
        <v>30-39</v>
      </c>
    </row>
    <row r="207" spans="1:33" x14ac:dyDescent="0.35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 cm="1">
        <f t="array" ref="AG207">_xlfn.IFS(A207&lt;30,"Below 30",A207&lt;40,"30-39",A207&lt;50,"40-49",TRUE,"50+")</f>
        <v>Below 30</v>
      </c>
    </row>
    <row r="208" spans="1:33" x14ac:dyDescent="0.35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 cm="1">
        <f t="array" ref="AG208">_xlfn.IFS(A208&lt;30,"Below 30",A208&lt;40,"30-39",A208&lt;50,"40-49",TRUE,"50+")</f>
        <v>Below 30</v>
      </c>
    </row>
    <row r="209" spans="1:33" x14ac:dyDescent="0.35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 cm="1">
        <f t="array" ref="AG209">_xlfn.IFS(A209&lt;30,"Below 30",A209&lt;40,"30-39",A209&lt;50,"40-49",TRUE,"50+")</f>
        <v>30-39</v>
      </c>
    </row>
    <row r="210" spans="1:33" x14ac:dyDescent="0.35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 cm="1">
        <f t="array" ref="AG210">_xlfn.IFS(A210&lt;30,"Below 30",A210&lt;40,"30-39",A210&lt;50,"40-49",TRUE,"50+")</f>
        <v>40-49</v>
      </c>
    </row>
    <row r="211" spans="1:33" x14ac:dyDescent="0.35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 cm="1">
        <f t="array" ref="AG211">_xlfn.IFS(A211&lt;30,"Below 30",A211&lt;40,"30-39",A211&lt;50,"40-49",TRUE,"50+")</f>
        <v>40-49</v>
      </c>
    </row>
    <row r="212" spans="1:33" x14ac:dyDescent="0.35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 cm="1">
        <f t="array" ref="AG212">_xlfn.IFS(A212&lt;30,"Below 30",A212&lt;40,"30-39",A212&lt;50,"40-49",TRUE,"50+")</f>
        <v>30-39</v>
      </c>
    </row>
    <row r="213" spans="1:33" x14ac:dyDescent="0.35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 cm="1">
        <f t="array" ref="AG213">_xlfn.IFS(A213&lt;30,"Below 30",A213&lt;40,"30-39",A213&lt;50,"40-49",TRUE,"50+")</f>
        <v>30-39</v>
      </c>
    </row>
    <row r="214" spans="1:33" x14ac:dyDescent="0.35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 cm="1">
        <f t="array" ref="AG214">_xlfn.IFS(A214&lt;30,"Below 30",A214&lt;40,"30-39",A214&lt;50,"40-49",TRUE,"50+")</f>
        <v>Below 30</v>
      </c>
    </row>
    <row r="215" spans="1:33" x14ac:dyDescent="0.35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 cm="1">
        <f t="array" ref="AG215">_xlfn.IFS(A215&lt;30,"Below 30",A215&lt;40,"30-39",A215&lt;50,"40-49",TRUE,"50+")</f>
        <v>50+</v>
      </c>
    </row>
    <row r="216" spans="1:33" x14ac:dyDescent="0.35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 cm="1">
        <f t="array" ref="AG216">_xlfn.IFS(A216&lt;30,"Below 30",A216&lt;40,"30-39",A216&lt;50,"40-49",TRUE,"50+")</f>
        <v>30-39</v>
      </c>
    </row>
    <row r="217" spans="1:33" x14ac:dyDescent="0.35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 cm="1">
        <f t="array" ref="AG217">_xlfn.IFS(A217&lt;30,"Below 30",A217&lt;40,"30-39",A217&lt;50,"40-49",TRUE,"50+")</f>
        <v>40-49</v>
      </c>
    </row>
    <row r="218" spans="1:33" x14ac:dyDescent="0.35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 cm="1">
        <f t="array" ref="AG218">_xlfn.IFS(A218&lt;30,"Below 30",A218&lt;40,"30-39",A218&lt;50,"40-49",TRUE,"50+")</f>
        <v>30-39</v>
      </c>
    </row>
    <row r="219" spans="1:33" x14ac:dyDescent="0.35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 cm="1">
        <f t="array" ref="AG219">_xlfn.IFS(A219&lt;30,"Below 30",A219&lt;40,"30-39",A219&lt;50,"40-49",TRUE,"50+")</f>
        <v>Below 30</v>
      </c>
    </row>
    <row r="220" spans="1:33" x14ac:dyDescent="0.35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 cm="1">
        <f t="array" ref="AG220">_xlfn.IFS(A220&lt;30,"Below 30",A220&lt;40,"30-39",A220&lt;50,"40-49",TRUE,"50+")</f>
        <v>40-49</v>
      </c>
    </row>
    <row r="221" spans="1:33" x14ac:dyDescent="0.35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 cm="1">
        <f t="array" ref="AG221">_xlfn.IFS(A221&lt;30,"Below 30",A221&lt;40,"30-39",A221&lt;50,"40-49",TRUE,"50+")</f>
        <v>50+</v>
      </c>
    </row>
    <row r="222" spans="1:33" x14ac:dyDescent="0.35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 cm="1">
        <f t="array" ref="AG222">_xlfn.IFS(A222&lt;30,"Below 30",A222&lt;40,"30-39",A222&lt;50,"40-49",TRUE,"50+")</f>
        <v>30-39</v>
      </c>
    </row>
    <row r="223" spans="1:33" x14ac:dyDescent="0.35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 cm="1">
        <f t="array" ref="AG223">_xlfn.IFS(A223&lt;30,"Below 30",A223&lt;40,"30-39",A223&lt;50,"40-49",TRUE,"50+")</f>
        <v>30-39</v>
      </c>
    </row>
    <row r="224" spans="1:33" x14ac:dyDescent="0.35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 cm="1">
        <f t="array" ref="AG224">_xlfn.IFS(A224&lt;30,"Below 30",A224&lt;40,"30-39",A224&lt;50,"40-49",TRUE,"50+")</f>
        <v>30-39</v>
      </c>
    </row>
    <row r="225" spans="1:33" x14ac:dyDescent="0.35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 cm="1">
        <f t="array" ref="AG225">_xlfn.IFS(A225&lt;30,"Below 30",A225&lt;40,"30-39",A225&lt;50,"40-49",TRUE,"50+")</f>
        <v>30-39</v>
      </c>
    </row>
    <row r="226" spans="1:33" x14ac:dyDescent="0.35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 cm="1">
        <f t="array" ref="AG226">_xlfn.IFS(A226&lt;30,"Below 30",A226&lt;40,"30-39",A226&lt;50,"40-49",TRUE,"50+")</f>
        <v>30-39</v>
      </c>
    </row>
    <row r="227" spans="1:33" x14ac:dyDescent="0.35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 cm="1">
        <f t="array" ref="AG227">_xlfn.IFS(A227&lt;30,"Below 30",A227&lt;40,"30-39",A227&lt;50,"40-49",TRUE,"50+")</f>
        <v>50+</v>
      </c>
    </row>
    <row r="228" spans="1:33" x14ac:dyDescent="0.35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 cm="1">
        <f t="array" ref="AG228">_xlfn.IFS(A228&lt;30,"Below 30",A228&lt;40,"30-39",A228&lt;50,"40-49",TRUE,"50+")</f>
        <v>30-39</v>
      </c>
    </row>
    <row r="229" spans="1:33" x14ac:dyDescent="0.35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 cm="1">
        <f t="array" ref="AG229">_xlfn.IFS(A229&lt;30,"Below 30",A229&lt;40,"30-39",A229&lt;50,"40-49",TRUE,"50+")</f>
        <v>Below 30</v>
      </c>
    </row>
    <row r="230" spans="1:33" x14ac:dyDescent="0.35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 cm="1">
        <f t="array" ref="AG230">_xlfn.IFS(A230&lt;30,"Below 30",A230&lt;40,"30-39",A230&lt;50,"40-49",TRUE,"50+")</f>
        <v>30-39</v>
      </c>
    </row>
    <row r="231" spans="1:33" x14ac:dyDescent="0.35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 cm="1">
        <f t="array" ref="AG231">_xlfn.IFS(A231&lt;30,"Below 30",A231&lt;40,"30-39",A231&lt;50,"40-49",TRUE,"50+")</f>
        <v>Below 30</v>
      </c>
    </row>
    <row r="232" spans="1:33" x14ac:dyDescent="0.35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 cm="1">
        <f t="array" ref="AG232">_xlfn.IFS(A232&lt;30,"Below 30",A232&lt;40,"30-39",A232&lt;50,"40-49",TRUE,"50+")</f>
        <v>50+</v>
      </c>
    </row>
    <row r="233" spans="1:33" x14ac:dyDescent="0.35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 cm="1">
        <f t="array" ref="AG233">_xlfn.IFS(A233&lt;30,"Below 30",A233&lt;40,"30-39",A233&lt;50,"40-49",TRUE,"50+")</f>
        <v>40-49</v>
      </c>
    </row>
    <row r="234" spans="1:33" x14ac:dyDescent="0.35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 cm="1">
        <f t="array" ref="AG234">_xlfn.IFS(A234&lt;30,"Below 30",A234&lt;40,"30-39",A234&lt;50,"40-49",TRUE,"50+")</f>
        <v>50+</v>
      </c>
    </row>
    <row r="235" spans="1:33" x14ac:dyDescent="0.35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 cm="1">
        <f t="array" ref="AG235">_xlfn.IFS(A235&lt;30,"Below 30",A235&lt;40,"30-39",A235&lt;50,"40-49",TRUE,"50+")</f>
        <v>50+</v>
      </c>
    </row>
    <row r="236" spans="1:33" x14ac:dyDescent="0.35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 cm="1">
        <f t="array" ref="AG236">_xlfn.IFS(A236&lt;30,"Below 30",A236&lt;40,"30-39",A236&lt;50,"40-49",TRUE,"50+")</f>
        <v>30-39</v>
      </c>
    </row>
    <row r="237" spans="1:33" x14ac:dyDescent="0.35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 cm="1">
        <f t="array" ref="AG237">_xlfn.IFS(A237&lt;30,"Below 30",A237&lt;40,"30-39",A237&lt;50,"40-49",TRUE,"50+")</f>
        <v>40-49</v>
      </c>
    </row>
    <row r="238" spans="1:33" x14ac:dyDescent="0.35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 cm="1">
        <f t="array" ref="AG238">_xlfn.IFS(A238&lt;30,"Below 30",A238&lt;40,"30-39",A238&lt;50,"40-49",TRUE,"50+")</f>
        <v>30-39</v>
      </c>
    </row>
    <row r="239" spans="1:33" x14ac:dyDescent="0.35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 cm="1">
        <f t="array" ref="AG239">_xlfn.IFS(A239&lt;30,"Below 30",A239&lt;40,"30-39",A239&lt;50,"40-49",TRUE,"50+")</f>
        <v>50+</v>
      </c>
    </row>
    <row r="240" spans="1:33" x14ac:dyDescent="0.35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 cm="1">
        <f t="array" ref="AG240">_xlfn.IFS(A240&lt;30,"Below 30",A240&lt;40,"30-39",A240&lt;50,"40-49",TRUE,"50+")</f>
        <v>30-39</v>
      </c>
    </row>
    <row r="241" spans="1:33" x14ac:dyDescent="0.35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 cm="1">
        <f t="array" ref="AG241">_xlfn.IFS(A241&lt;30,"Below 30",A241&lt;40,"30-39",A241&lt;50,"40-49",TRUE,"50+")</f>
        <v>30-39</v>
      </c>
    </row>
    <row r="242" spans="1:33" x14ac:dyDescent="0.35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 cm="1">
        <f t="array" ref="AG242">_xlfn.IFS(A242&lt;30,"Below 30",A242&lt;40,"30-39",A242&lt;50,"40-49",TRUE,"50+")</f>
        <v>30-39</v>
      </c>
    </row>
    <row r="243" spans="1:33" x14ac:dyDescent="0.35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 cm="1">
        <f t="array" ref="AG243">_xlfn.IFS(A243&lt;30,"Below 30",A243&lt;40,"30-39",A243&lt;50,"40-49",TRUE,"50+")</f>
        <v>30-39</v>
      </c>
    </row>
    <row r="244" spans="1:33" x14ac:dyDescent="0.35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 cm="1">
        <f t="array" ref="AG244">_xlfn.IFS(A244&lt;30,"Below 30",A244&lt;40,"30-39",A244&lt;50,"40-49",TRUE,"50+")</f>
        <v>40-49</v>
      </c>
    </row>
    <row r="245" spans="1:33" x14ac:dyDescent="0.35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 cm="1">
        <f t="array" ref="AG245">_xlfn.IFS(A245&lt;30,"Below 30",A245&lt;40,"30-39",A245&lt;50,"40-49",TRUE,"50+")</f>
        <v>40-49</v>
      </c>
    </row>
    <row r="246" spans="1:33" x14ac:dyDescent="0.35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 cm="1">
        <f t="array" ref="AG246">_xlfn.IFS(A246&lt;30,"Below 30",A246&lt;40,"30-39",A246&lt;50,"40-49",TRUE,"50+")</f>
        <v>40-49</v>
      </c>
    </row>
    <row r="247" spans="1:33" x14ac:dyDescent="0.35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 cm="1">
        <f t="array" ref="AG247">_xlfn.IFS(A247&lt;30,"Below 30",A247&lt;40,"30-39",A247&lt;50,"40-49",TRUE,"50+")</f>
        <v>30-39</v>
      </c>
    </row>
    <row r="248" spans="1:33" x14ac:dyDescent="0.35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 cm="1">
        <f t="array" ref="AG248">_xlfn.IFS(A248&lt;30,"Below 30",A248&lt;40,"30-39",A248&lt;50,"40-49",TRUE,"50+")</f>
        <v>30-39</v>
      </c>
    </row>
    <row r="249" spans="1:33" x14ac:dyDescent="0.35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 cm="1">
        <f t="array" ref="AG249">_xlfn.IFS(A249&lt;30,"Below 30",A249&lt;40,"30-39",A249&lt;50,"40-49",TRUE,"50+")</f>
        <v>30-39</v>
      </c>
    </row>
    <row r="250" spans="1:33" x14ac:dyDescent="0.35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 cm="1">
        <f t="array" ref="AG250">_xlfn.IFS(A250&lt;30,"Below 30",A250&lt;40,"30-39",A250&lt;50,"40-49",TRUE,"50+")</f>
        <v>30-39</v>
      </c>
    </row>
    <row r="251" spans="1:33" x14ac:dyDescent="0.35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 cm="1">
        <f t="array" ref="AG251">_xlfn.IFS(A251&lt;30,"Below 30",A251&lt;40,"30-39",A251&lt;50,"40-49",TRUE,"50+")</f>
        <v>40-49</v>
      </c>
    </row>
    <row r="252" spans="1:33" x14ac:dyDescent="0.35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 cm="1">
        <f t="array" ref="AG252">_xlfn.IFS(A252&lt;30,"Below 30",A252&lt;40,"30-39",A252&lt;50,"40-49",TRUE,"50+")</f>
        <v>30-39</v>
      </c>
    </row>
    <row r="253" spans="1:33" x14ac:dyDescent="0.35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 cm="1">
        <f t="array" ref="AG253">_xlfn.IFS(A253&lt;30,"Below 30",A253&lt;40,"30-39",A253&lt;50,"40-49",TRUE,"50+")</f>
        <v>30-39</v>
      </c>
    </row>
    <row r="254" spans="1:33" x14ac:dyDescent="0.35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 cm="1">
        <f t="array" ref="AG254">_xlfn.IFS(A254&lt;30,"Below 30",A254&lt;40,"30-39",A254&lt;50,"40-49",TRUE,"50+")</f>
        <v>Below 30</v>
      </c>
    </row>
    <row r="255" spans="1:33" x14ac:dyDescent="0.35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 cm="1">
        <f t="array" ref="AG255">_xlfn.IFS(A255&lt;30,"Below 30",A255&lt;40,"30-39",A255&lt;50,"40-49",TRUE,"50+")</f>
        <v>40-49</v>
      </c>
    </row>
    <row r="256" spans="1:33" x14ac:dyDescent="0.35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 cm="1">
        <f t="array" ref="AG256">_xlfn.IFS(A256&lt;30,"Below 30",A256&lt;40,"30-39",A256&lt;50,"40-49",TRUE,"50+")</f>
        <v>Below 30</v>
      </c>
    </row>
    <row r="257" spans="1:33" x14ac:dyDescent="0.35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 cm="1">
        <f t="array" ref="AG257">_xlfn.IFS(A257&lt;30,"Below 30",A257&lt;40,"30-39",A257&lt;50,"40-49",TRUE,"50+")</f>
        <v>Below 30</v>
      </c>
    </row>
    <row r="258" spans="1:33" x14ac:dyDescent="0.35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 cm="1">
        <f t="array" ref="AG258">_xlfn.IFS(A258&lt;30,"Below 30",A258&lt;40,"30-39",A258&lt;50,"40-49",TRUE,"50+")</f>
        <v>40-49</v>
      </c>
    </row>
    <row r="259" spans="1:33" x14ac:dyDescent="0.35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 cm="1">
        <f t="array" ref="AG259">_xlfn.IFS(A259&lt;30,"Below 30",A259&lt;40,"30-39",A259&lt;50,"40-49",TRUE,"50+")</f>
        <v>40-49</v>
      </c>
    </row>
    <row r="260" spans="1:33" x14ac:dyDescent="0.35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 cm="1">
        <f t="array" ref="AG260">_xlfn.IFS(A260&lt;30,"Below 30",A260&lt;40,"30-39",A260&lt;50,"40-49",TRUE,"50+")</f>
        <v>50+</v>
      </c>
    </row>
    <row r="261" spans="1:33" x14ac:dyDescent="0.35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 cm="1">
        <f t="array" ref="AG261">_xlfn.IFS(A261&lt;30,"Below 30",A261&lt;40,"30-39",A261&lt;50,"40-49",TRUE,"50+")</f>
        <v>30-39</v>
      </c>
    </row>
    <row r="262" spans="1:33" x14ac:dyDescent="0.35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 cm="1">
        <f t="array" ref="AG262">_xlfn.IFS(A262&lt;30,"Below 30",A262&lt;40,"30-39",A262&lt;50,"40-49",TRUE,"50+")</f>
        <v>30-39</v>
      </c>
    </row>
    <row r="263" spans="1:33" x14ac:dyDescent="0.35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 cm="1">
        <f t="array" ref="AG263">_xlfn.IFS(A263&lt;30,"Below 30",A263&lt;40,"30-39",A263&lt;50,"40-49",TRUE,"50+")</f>
        <v>30-39</v>
      </c>
    </row>
    <row r="264" spans="1:33" x14ac:dyDescent="0.35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 cm="1">
        <f t="array" ref="AG264">_xlfn.IFS(A264&lt;30,"Below 30",A264&lt;40,"30-39",A264&lt;50,"40-49",TRUE,"50+")</f>
        <v>30-39</v>
      </c>
    </row>
    <row r="265" spans="1:33" x14ac:dyDescent="0.35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 cm="1">
        <f t="array" ref="AG265">_xlfn.IFS(A265&lt;30,"Below 30",A265&lt;40,"30-39",A265&lt;50,"40-49",TRUE,"50+")</f>
        <v>40-49</v>
      </c>
    </row>
    <row r="266" spans="1:33" x14ac:dyDescent="0.35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 cm="1">
        <f t="array" ref="AG266">_xlfn.IFS(A266&lt;30,"Below 30",A266&lt;40,"30-39",A266&lt;50,"40-49",TRUE,"50+")</f>
        <v>Below 30</v>
      </c>
    </row>
    <row r="267" spans="1:33" x14ac:dyDescent="0.35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 cm="1">
        <f t="array" ref="AG267">_xlfn.IFS(A267&lt;30,"Below 30",A267&lt;40,"30-39",A267&lt;50,"40-49",TRUE,"50+")</f>
        <v>Below 30</v>
      </c>
    </row>
    <row r="268" spans="1:33" x14ac:dyDescent="0.35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 cm="1">
        <f t="array" ref="AG268">_xlfn.IFS(A268&lt;30,"Below 30",A268&lt;40,"30-39",A268&lt;50,"40-49",TRUE,"50+")</f>
        <v>30-39</v>
      </c>
    </row>
    <row r="269" spans="1:33" x14ac:dyDescent="0.35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 cm="1">
        <f t="array" ref="AG269">_xlfn.IFS(A269&lt;30,"Below 30",A269&lt;40,"30-39",A269&lt;50,"40-49",TRUE,"50+")</f>
        <v>Below 30</v>
      </c>
    </row>
    <row r="270" spans="1:33" x14ac:dyDescent="0.35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 cm="1">
        <f t="array" ref="AG270">_xlfn.IFS(A270&lt;30,"Below 30",A270&lt;40,"30-39",A270&lt;50,"40-49",TRUE,"50+")</f>
        <v>40-49</v>
      </c>
    </row>
    <row r="271" spans="1:33" x14ac:dyDescent="0.35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 cm="1">
        <f t="array" ref="AG271">_xlfn.IFS(A271&lt;30,"Below 30",A271&lt;40,"30-39",A271&lt;50,"40-49",TRUE,"50+")</f>
        <v>30-39</v>
      </c>
    </row>
    <row r="272" spans="1:33" x14ac:dyDescent="0.35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 cm="1">
        <f t="array" ref="AG272">_xlfn.IFS(A272&lt;30,"Below 30",A272&lt;40,"30-39",A272&lt;50,"40-49",TRUE,"50+")</f>
        <v>50+</v>
      </c>
    </row>
    <row r="273" spans="1:33" x14ac:dyDescent="0.35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 cm="1">
        <f t="array" ref="AG273">_xlfn.IFS(A273&lt;30,"Below 30",A273&lt;40,"30-39",A273&lt;50,"40-49",TRUE,"50+")</f>
        <v>40-49</v>
      </c>
    </row>
    <row r="274" spans="1:33" x14ac:dyDescent="0.35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 cm="1">
        <f t="array" ref="AG274">_xlfn.IFS(A274&lt;30,"Below 30",A274&lt;40,"30-39",A274&lt;50,"40-49",TRUE,"50+")</f>
        <v>Below 30</v>
      </c>
    </row>
    <row r="275" spans="1:33" x14ac:dyDescent="0.35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 cm="1">
        <f t="array" ref="AG275">_xlfn.IFS(A275&lt;30,"Below 30",A275&lt;40,"30-39",A275&lt;50,"40-49",TRUE,"50+")</f>
        <v>30-39</v>
      </c>
    </row>
    <row r="276" spans="1:33" x14ac:dyDescent="0.35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 cm="1">
        <f t="array" ref="AG276">_xlfn.IFS(A276&lt;30,"Below 30",A276&lt;40,"30-39",A276&lt;50,"40-49",TRUE,"50+")</f>
        <v>Below 30</v>
      </c>
    </row>
    <row r="277" spans="1:33" x14ac:dyDescent="0.35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 cm="1">
        <f t="array" ref="AG277">_xlfn.IFS(A277&lt;30,"Below 30",A277&lt;40,"30-39",A277&lt;50,"40-49",TRUE,"50+")</f>
        <v>30-39</v>
      </c>
    </row>
    <row r="278" spans="1:33" x14ac:dyDescent="0.35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 cm="1">
        <f t="array" ref="AG278">_xlfn.IFS(A278&lt;30,"Below 30",A278&lt;40,"30-39",A278&lt;50,"40-49",TRUE,"50+")</f>
        <v>30-39</v>
      </c>
    </row>
    <row r="279" spans="1:33" x14ac:dyDescent="0.35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 cm="1">
        <f t="array" ref="AG279">_xlfn.IFS(A279&lt;30,"Below 30",A279&lt;40,"30-39",A279&lt;50,"40-49",TRUE,"50+")</f>
        <v>30-39</v>
      </c>
    </row>
    <row r="280" spans="1:33" x14ac:dyDescent="0.35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 cm="1">
        <f t="array" ref="AG280">_xlfn.IFS(A280&lt;30,"Below 30",A280&lt;40,"30-39",A280&lt;50,"40-49",TRUE,"50+")</f>
        <v>Below 30</v>
      </c>
    </row>
    <row r="281" spans="1:33" x14ac:dyDescent="0.35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 cm="1">
        <f t="array" ref="AG281">_xlfn.IFS(A281&lt;30,"Below 30",A281&lt;40,"30-39",A281&lt;50,"40-49",TRUE,"50+")</f>
        <v>50+</v>
      </c>
    </row>
    <row r="282" spans="1:33" x14ac:dyDescent="0.35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 cm="1">
        <f t="array" ref="AG282">_xlfn.IFS(A282&lt;30,"Below 30",A282&lt;40,"30-39",A282&lt;50,"40-49",TRUE,"50+")</f>
        <v>50+</v>
      </c>
    </row>
    <row r="283" spans="1:33" x14ac:dyDescent="0.35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 cm="1">
        <f t="array" ref="AG283">_xlfn.IFS(A283&lt;30,"Below 30",A283&lt;40,"30-39",A283&lt;50,"40-49",TRUE,"50+")</f>
        <v>40-49</v>
      </c>
    </row>
    <row r="284" spans="1:33" x14ac:dyDescent="0.35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 cm="1">
        <f t="array" ref="AG284">_xlfn.IFS(A284&lt;30,"Below 30",A284&lt;40,"30-39",A284&lt;50,"40-49",TRUE,"50+")</f>
        <v>Below 30</v>
      </c>
    </row>
    <row r="285" spans="1:33" x14ac:dyDescent="0.35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 cm="1">
        <f t="array" ref="AG285">_xlfn.IFS(A285&lt;30,"Below 30",A285&lt;40,"30-39",A285&lt;50,"40-49",TRUE,"50+")</f>
        <v>50+</v>
      </c>
    </row>
    <row r="286" spans="1:33" x14ac:dyDescent="0.35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 cm="1">
        <f t="array" ref="AG286">_xlfn.IFS(A286&lt;30,"Below 30",A286&lt;40,"30-39",A286&lt;50,"40-49",TRUE,"50+")</f>
        <v>Below 30</v>
      </c>
    </row>
    <row r="287" spans="1:33" x14ac:dyDescent="0.35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 cm="1">
        <f t="array" ref="AG287">_xlfn.IFS(A287&lt;30,"Below 30",A287&lt;40,"30-39",A287&lt;50,"40-49",TRUE,"50+")</f>
        <v>30-39</v>
      </c>
    </row>
    <row r="288" spans="1:33" x14ac:dyDescent="0.35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 cm="1">
        <f t="array" ref="AG288">_xlfn.IFS(A288&lt;30,"Below 30",A288&lt;40,"30-39",A288&lt;50,"40-49",TRUE,"50+")</f>
        <v>40-49</v>
      </c>
    </row>
    <row r="289" spans="1:33" x14ac:dyDescent="0.35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 cm="1">
        <f t="array" ref="AG289">_xlfn.IFS(A289&lt;30,"Below 30",A289&lt;40,"30-39",A289&lt;50,"40-49",TRUE,"50+")</f>
        <v>30-39</v>
      </c>
    </row>
    <row r="290" spans="1:33" x14ac:dyDescent="0.35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 cm="1">
        <f t="array" ref="AG290">_xlfn.IFS(A290&lt;30,"Below 30",A290&lt;40,"30-39",A290&lt;50,"40-49",TRUE,"50+")</f>
        <v>Below 30</v>
      </c>
    </row>
    <row r="291" spans="1:33" x14ac:dyDescent="0.35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 cm="1">
        <f t="array" ref="AG291">_xlfn.IFS(A291&lt;30,"Below 30",A291&lt;40,"30-39",A291&lt;50,"40-49",TRUE,"50+")</f>
        <v>Below 30</v>
      </c>
    </row>
    <row r="292" spans="1:33" x14ac:dyDescent="0.35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 cm="1">
        <f t="array" ref="AG292">_xlfn.IFS(A292&lt;30,"Below 30",A292&lt;40,"30-39",A292&lt;50,"40-49",TRUE,"50+")</f>
        <v>40-49</v>
      </c>
    </row>
    <row r="293" spans="1:33" x14ac:dyDescent="0.35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 cm="1">
        <f t="array" ref="AG293">_xlfn.IFS(A293&lt;30,"Below 30",A293&lt;40,"30-39",A293&lt;50,"40-49",TRUE,"50+")</f>
        <v>30-39</v>
      </c>
    </row>
    <row r="294" spans="1:33" x14ac:dyDescent="0.35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 cm="1">
        <f t="array" ref="AG294">_xlfn.IFS(A294&lt;30,"Below 30",A294&lt;40,"30-39",A294&lt;50,"40-49",TRUE,"50+")</f>
        <v>30-39</v>
      </c>
    </row>
    <row r="295" spans="1:33" x14ac:dyDescent="0.35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 cm="1">
        <f t="array" ref="AG295">_xlfn.IFS(A295&lt;30,"Below 30",A295&lt;40,"30-39",A295&lt;50,"40-49",TRUE,"50+")</f>
        <v>Below 30</v>
      </c>
    </row>
    <row r="296" spans="1:33" x14ac:dyDescent="0.35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 cm="1">
        <f t="array" ref="AG296">_xlfn.IFS(A296&lt;30,"Below 30",A296&lt;40,"30-39",A296&lt;50,"40-49",TRUE,"50+")</f>
        <v>30-39</v>
      </c>
    </row>
    <row r="297" spans="1:33" x14ac:dyDescent="0.35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 cm="1">
        <f t="array" ref="AG297">_xlfn.IFS(A297&lt;30,"Below 30",A297&lt;40,"30-39",A297&lt;50,"40-49",TRUE,"50+")</f>
        <v>40-49</v>
      </c>
    </row>
    <row r="298" spans="1:33" x14ac:dyDescent="0.35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 cm="1">
        <f t="array" ref="AG298">_xlfn.IFS(A298&lt;30,"Below 30",A298&lt;40,"30-39",A298&lt;50,"40-49",TRUE,"50+")</f>
        <v>Below 30</v>
      </c>
    </row>
    <row r="299" spans="1:33" x14ac:dyDescent="0.35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 cm="1">
        <f t="array" ref="AG299">_xlfn.IFS(A299&lt;30,"Below 30",A299&lt;40,"30-39",A299&lt;50,"40-49",TRUE,"50+")</f>
        <v>30-39</v>
      </c>
    </row>
    <row r="300" spans="1:33" x14ac:dyDescent="0.35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 cm="1">
        <f t="array" ref="AG300">_xlfn.IFS(A300&lt;30,"Below 30",A300&lt;40,"30-39",A300&lt;50,"40-49",TRUE,"50+")</f>
        <v>30-39</v>
      </c>
    </row>
    <row r="301" spans="1:33" x14ac:dyDescent="0.35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 cm="1">
        <f t="array" ref="AG301">_xlfn.IFS(A301&lt;30,"Below 30",A301&lt;40,"30-39",A301&lt;50,"40-49",TRUE,"50+")</f>
        <v>50+</v>
      </c>
    </row>
    <row r="302" spans="1:33" x14ac:dyDescent="0.35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 cm="1">
        <f t="array" ref="AG302">_xlfn.IFS(A302&lt;30,"Below 30",A302&lt;40,"30-39",A302&lt;50,"40-49",TRUE,"50+")</f>
        <v>40-49</v>
      </c>
    </row>
    <row r="303" spans="1:33" x14ac:dyDescent="0.35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 cm="1">
        <f t="array" ref="AG303">_xlfn.IFS(A303&lt;30,"Below 30",A303&lt;40,"30-39",A303&lt;50,"40-49",TRUE,"50+")</f>
        <v>Below 30</v>
      </c>
    </row>
    <row r="304" spans="1:33" x14ac:dyDescent="0.35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 cm="1">
        <f t="array" ref="AG304">_xlfn.IFS(A304&lt;30,"Below 30",A304&lt;40,"30-39",A304&lt;50,"40-49",TRUE,"50+")</f>
        <v>Below 30</v>
      </c>
    </row>
    <row r="305" spans="1:33" x14ac:dyDescent="0.35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 cm="1">
        <f t="array" ref="AG305">_xlfn.IFS(A305&lt;30,"Below 30",A305&lt;40,"30-39",A305&lt;50,"40-49",TRUE,"50+")</f>
        <v>30-39</v>
      </c>
    </row>
    <row r="306" spans="1:33" x14ac:dyDescent="0.35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 cm="1">
        <f t="array" ref="AG306">_xlfn.IFS(A306&lt;30,"Below 30",A306&lt;40,"30-39",A306&lt;50,"40-49",TRUE,"50+")</f>
        <v>30-39</v>
      </c>
    </row>
    <row r="307" spans="1:33" x14ac:dyDescent="0.35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 cm="1">
        <f t="array" ref="AG307">_xlfn.IFS(A307&lt;30,"Below 30",A307&lt;40,"30-39",A307&lt;50,"40-49",TRUE,"50+")</f>
        <v>30-39</v>
      </c>
    </row>
    <row r="308" spans="1:33" x14ac:dyDescent="0.35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 cm="1">
        <f t="array" ref="AG308">_xlfn.IFS(A308&lt;30,"Below 30",A308&lt;40,"30-39",A308&lt;50,"40-49",TRUE,"50+")</f>
        <v>30-39</v>
      </c>
    </row>
    <row r="309" spans="1:33" x14ac:dyDescent="0.35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 cm="1">
        <f t="array" ref="AG309">_xlfn.IFS(A309&lt;30,"Below 30",A309&lt;40,"30-39",A309&lt;50,"40-49",TRUE,"50+")</f>
        <v>30-39</v>
      </c>
    </row>
    <row r="310" spans="1:33" x14ac:dyDescent="0.35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 cm="1">
        <f t="array" ref="AG310">_xlfn.IFS(A310&lt;30,"Below 30",A310&lt;40,"30-39",A310&lt;50,"40-49",TRUE,"50+")</f>
        <v>50+</v>
      </c>
    </row>
    <row r="311" spans="1:33" x14ac:dyDescent="0.35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 cm="1">
        <f t="array" ref="AG311">_xlfn.IFS(A311&lt;30,"Below 30",A311&lt;40,"30-39",A311&lt;50,"40-49",TRUE,"50+")</f>
        <v>30-39</v>
      </c>
    </row>
    <row r="312" spans="1:33" x14ac:dyDescent="0.35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 cm="1">
        <f t="array" ref="AG312">_xlfn.IFS(A312&lt;30,"Below 30",A312&lt;40,"30-39",A312&lt;50,"40-49",TRUE,"50+")</f>
        <v>30-39</v>
      </c>
    </row>
    <row r="313" spans="1:33" x14ac:dyDescent="0.35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 cm="1">
        <f t="array" ref="AG313">_xlfn.IFS(A313&lt;30,"Below 30",A313&lt;40,"30-39",A313&lt;50,"40-49",TRUE,"50+")</f>
        <v>40-49</v>
      </c>
    </row>
    <row r="314" spans="1:33" x14ac:dyDescent="0.35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 cm="1">
        <f t="array" ref="AG314">_xlfn.IFS(A314&lt;30,"Below 30",A314&lt;40,"30-39",A314&lt;50,"40-49",TRUE,"50+")</f>
        <v>30-39</v>
      </c>
    </row>
    <row r="315" spans="1:33" x14ac:dyDescent="0.35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 cm="1">
        <f t="array" ref="AG315">_xlfn.IFS(A315&lt;30,"Below 30",A315&lt;40,"30-39",A315&lt;50,"40-49",TRUE,"50+")</f>
        <v>30-39</v>
      </c>
    </row>
    <row r="316" spans="1:33" x14ac:dyDescent="0.35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 cm="1">
        <f t="array" ref="AG316">_xlfn.IFS(A316&lt;30,"Below 30",A316&lt;40,"30-39",A316&lt;50,"40-49",TRUE,"50+")</f>
        <v>30-39</v>
      </c>
    </row>
    <row r="317" spans="1:33" x14ac:dyDescent="0.35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 cm="1">
        <f t="array" ref="AG317">_xlfn.IFS(A317&lt;30,"Below 30",A317&lt;40,"30-39",A317&lt;50,"40-49",TRUE,"50+")</f>
        <v>40-49</v>
      </c>
    </row>
    <row r="318" spans="1:33" x14ac:dyDescent="0.35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 cm="1">
        <f t="array" ref="AG318">_xlfn.IFS(A318&lt;30,"Below 30",A318&lt;40,"30-39",A318&lt;50,"40-49",TRUE,"50+")</f>
        <v>40-49</v>
      </c>
    </row>
    <row r="319" spans="1:33" x14ac:dyDescent="0.35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 cm="1">
        <f t="array" ref="AG319">_xlfn.IFS(A319&lt;30,"Below 30",A319&lt;40,"30-39",A319&lt;50,"40-49",TRUE,"50+")</f>
        <v>50+</v>
      </c>
    </row>
    <row r="320" spans="1:33" x14ac:dyDescent="0.35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 cm="1">
        <f t="array" ref="AG320">_xlfn.IFS(A320&lt;30,"Below 30",A320&lt;40,"30-39",A320&lt;50,"40-49",TRUE,"50+")</f>
        <v>Below 30</v>
      </c>
    </row>
    <row r="321" spans="1:33" x14ac:dyDescent="0.35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 cm="1">
        <f t="array" ref="AG321">_xlfn.IFS(A321&lt;30,"Below 30",A321&lt;40,"30-39",A321&lt;50,"40-49",TRUE,"50+")</f>
        <v>30-39</v>
      </c>
    </row>
    <row r="322" spans="1:33" x14ac:dyDescent="0.35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 cm="1">
        <f t="array" ref="AG322">_xlfn.IFS(A322&lt;30,"Below 30",A322&lt;40,"30-39",A322&lt;50,"40-49",TRUE,"50+")</f>
        <v>Below 30</v>
      </c>
    </row>
    <row r="323" spans="1:33" x14ac:dyDescent="0.35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 cm="1">
        <f t="array" ref="AG323">_xlfn.IFS(A323&lt;30,"Below 30",A323&lt;40,"30-39",A323&lt;50,"40-49",TRUE,"50+")</f>
        <v>30-39</v>
      </c>
    </row>
    <row r="324" spans="1:33" x14ac:dyDescent="0.35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 cm="1">
        <f t="array" ref="AG324">_xlfn.IFS(A324&lt;30,"Below 30",A324&lt;40,"30-39",A324&lt;50,"40-49",TRUE,"50+")</f>
        <v>30-39</v>
      </c>
    </row>
    <row r="325" spans="1:33" x14ac:dyDescent="0.35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 cm="1">
        <f t="array" ref="AG325">_xlfn.IFS(A325&lt;30,"Below 30",A325&lt;40,"30-39",A325&lt;50,"40-49",TRUE,"50+")</f>
        <v>Below 30</v>
      </c>
    </row>
    <row r="326" spans="1:33" x14ac:dyDescent="0.35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 cm="1">
        <f t="array" ref="AG326">_xlfn.IFS(A326&lt;30,"Below 30",A326&lt;40,"30-39",A326&lt;50,"40-49",TRUE,"50+")</f>
        <v>30-39</v>
      </c>
    </row>
    <row r="327" spans="1:33" x14ac:dyDescent="0.35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 cm="1">
        <f t="array" ref="AG327">_xlfn.IFS(A327&lt;30,"Below 30",A327&lt;40,"30-39",A327&lt;50,"40-49",TRUE,"50+")</f>
        <v>30-39</v>
      </c>
    </row>
    <row r="328" spans="1:33" x14ac:dyDescent="0.35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 cm="1">
        <f t="array" ref="AG328">_xlfn.IFS(A328&lt;30,"Below 30",A328&lt;40,"30-39",A328&lt;50,"40-49",TRUE,"50+")</f>
        <v>30-39</v>
      </c>
    </row>
    <row r="329" spans="1:33" x14ac:dyDescent="0.35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 cm="1">
        <f t="array" ref="AG329">_xlfn.IFS(A329&lt;30,"Below 30",A329&lt;40,"30-39",A329&lt;50,"40-49",TRUE,"50+")</f>
        <v>30-39</v>
      </c>
    </row>
    <row r="330" spans="1:33" x14ac:dyDescent="0.35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 cm="1">
        <f t="array" ref="AG330">_xlfn.IFS(A330&lt;30,"Below 30",A330&lt;40,"30-39",A330&lt;50,"40-49",TRUE,"50+")</f>
        <v>30-39</v>
      </c>
    </row>
    <row r="331" spans="1:33" x14ac:dyDescent="0.35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 cm="1">
        <f t="array" ref="AG331">_xlfn.IFS(A331&lt;30,"Below 30",A331&lt;40,"30-39",A331&lt;50,"40-49",TRUE,"50+")</f>
        <v>40-49</v>
      </c>
    </row>
    <row r="332" spans="1:33" x14ac:dyDescent="0.35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 cm="1">
        <f t="array" ref="AG332">_xlfn.IFS(A332&lt;30,"Below 30",A332&lt;40,"30-39",A332&lt;50,"40-49",TRUE,"50+")</f>
        <v>40-49</v>
      </c>
    </row>
    <row r="333" spans="1:33" x14ac:dyDescent="0.35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 cm="1">
        <f t="array" ref="AG333">_xlfn.IFS(A333&lt;30,"Below 30",A333&lt;40,"30-39",A333&lt;50,"40-49",TRUE,"50+")</f>
        <v>Below 30</v>
      </c>
    </row>
    <row r="334" spans="1:33" x14ac:dyDescent="0.35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 cm="1">
        <f t="array" ref="AG334">_xlfn.IFS(A334&lt;30,"Below 30",A334&lt;40,"30-39",A334&lt;50,"40-49",TRUE,"50+")</f>
        <v>50+</v>
      </c>
    </row>
    <row r="335" spans="1:33" x14ac:dyDescent="0.35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 cm="1">
        <f t="array" ref="AG335">_xlfn.IFS(A335&lt;30,"Below 30",A335&lt;40,"30-39",A335&lt;50,"40-49",TRUE,"50+")</f>
        <v>40-49</v>
      </c>
    </row>
    <row r="336" spans="1:33" x14ac:dyDescent="0.35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 cm="1">
        <f t="array" ref="AG336">_xlfn.IFS(A336&lt;30,"Below 30",A336&lt;40,"30-39",A336&lt;50,"40-49",TRUE,"50+")</f>
        <v>40-49</v>
      </c>
    </row>
    <row r="337" spans="1:33" x14ac:dyDescent="0.35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 cm="1">
        <f t="array" ref="AG337">_xlfn.IFS(A337&lt;30,"Below 30",A337&lt;40,"30-39",A337&lt;50,"40-49",TRUE,"50+")</f>
        <v>40-49</v>
      </c>
    </row>
    <row r="338" spans="1:33" x14ac:dyDescent="0.35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 cm="1">
        <f t="array" ref="AG338">_xlfn.IFS(A338&lt;30,"Below 30",A338&lt;40,"30-39",A338&lt;50,"40-49",TRUE,"50+")</f>
        <v>Below 30</v>
      </c>
    </row>
    <row r="339" spans="1:33" x14ac:dyDescent="0.35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 cm="1">
        <f t="array" ref="AG339">_xlfn.IFS(A339&lt;30,"Below 30",A339&lt;40,"30-39",A339&lt;50,"40-49",TRUE,"50+")</f>
        <v>Below 30</v>
      </c>
    </row>
    <row r="340" spans="1:33" x14ac:dyDescent="0.35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 cm="1">
        <f t="array" ref="AG340">_xlfn.IFS(A340&lt;30,"Below 30",A340&lt;40,"30-39",A340&lt;50,"40-49",TRUE,"50+")</f>
        <v>30-39</v>
      </c>
    </row>
    <row r="341" spans="1:33" x14ac:dyDescent="0.35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 cm="1">
        <f t="array" ref="AG341">_xlfn.IFS(A341&lt;30,"Below 30",A341&lt;40,"30-39",A341&lt;50,"40-49",TRUE,"50+")</f>
        <v>Below 30</v>
      </c>
    </row>
    <row r="342" spans="1:33" x14ac:dyDescent="0.35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 cm="1">
        <f t="array" ref="AG342">_xlfn.IFS(A342&lt;30,"Below 30",A342&lt;40,"30-39",A342&lt;50,"40-49",TRUE,"50+")</f>
        <v>30-39</v>
      </c>
    </row>
    <row r="343" spans="1:33" x14ac:dyDescent="0.35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 cm="1">
        <f t="array" ref="AG343">_xlfn.IFS(A343&lt;30,"Below 30",A343&lt;40,"30-39",A343&lt;50,"40-49",TRUE,"50+")</f>
        <v>30-39</v>
      </c>
    </row>
    <row r="344" spans="1:33" x14ac:dyDescent="0.35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 cm="1">
        <f t="array" ref="AG344">_xlfn.IFS(A344&lt;30,"Below 30",A344&lt;40,"30-39",A344&lt;50,"40-49",TRUE,"50+")</f>
        <v>30-39</v>
      </c>
    </row>
    <row r="345" spans="1:33" x14ac:dyDescent="0.35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 cm="1">
        <f t="array" ref="AG345">_xlfn.IFS(A345&lt;30,"Below 30",A345&lt;40,"30-39",A345&lt;50,"40-49",TRUE,"50+")</f>
        <v>Below 30</v>
      </c>
    </row>
    <row r="346" spans="1:33" x14ac:dyDescent="0.35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 cm="1">
        <f t="array" ref="AG346">_xlfn.IFS(A346&lt;30,"Below 30",A346&lt;40,"30-39",A346&lt;50,"40-49",TRUE,"50+")</f>
        <v>30-39</v>
      </c>
    </row>
    <row r="347" spans="1:33" x14ac:dyDescent="0.35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 cm="1">
        <f t="array" ref="AG347">_xlfn.IFS(A347&lt;30,"Below 30",A347&lt;40,"30-39",A347&lt;50,"40-49",TRUE,"50+")</f>
        <v>Below 30</v>
      </c>
    </row>
    <row r="348" spans="1:33" x14ac:dyDescent="0.35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 cm="1">
        <f t="array" ref="AG348">_xlfn.IFS(A348&lt;30,"Below 30",A348&lt;40,"30-39",A348&lt;50,"40-49",TRUE,"50+")</f>
        <v>40-49</v>
      </c>
    </row>
    <row r="349" spans="1:33" x14ac:dyDescent="0.35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 cm="1">
        <f t="array" ref="AG349">_xlfn.IFS(A349&lt;30,"Below 30",A349&lt;40,"30-39",A349&lt;50,"40-49",TRUE,"50+")</f>
        <v>40-49</v>
      </c>
    </row>
    <row r="350" spans="1:33" x14ac:dyDescent="0.35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 cm="1">
        <f t="array" ref="AG350">_xlfn.IFS(A350&lt;30,"Below 30",A350&lt;40,"30-39",A350&lt;50,"40-49",TRUE,"50+")</f>
        <v>40-49</v>
      </c>
    </row>
    <row r="351" spans="1:33" x14ac:dyDescent="0.35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 cm="1">
        <f t="array" ref="AG351">_xlfn.IFS(A351&lt;30,"Below 30",A351&lt;40,"30-39",A351&lt;50,"40-49",TRUE,"50+")</f>
        <v>Below 30</v>
      </c>
    </row>
    <row r="352" spans="1:33" x14ac:dyDescent="0.35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 cm="1">
        <f t="array" ref="AG352">_xlfn.IFS(A352&lt;30,"Below 30",A352&lt;40,"30-39",A352&lt;50,"40-49",TRUE,"50+")</f>
        <v>40-49</v>
      </c>
    </row>
    <row r="353" spans="1:33" x14ac:dyDescent="0.35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 cm="1">
        <f t="array" ref="AG353">_xlfn.IFS(A353&lt;30,"Below 30",A353&lt;40,"30-39",A353&lt;50,"40-49",TRUE,"50+")</f>
        <v>30-39</v>
      </c>
    </row>
    <row r="354" spans="1:33" x14ac:dyDescent="0.35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 cm="1">
        <f t="array" ref="AG354">_xlfn.IFS(A354&lt;30,"Below 30",A354&lt;40,"30-39",A354&lt;50,"40-49",TRUE,"50+")</f>
        <v>40-49</v>
      </c>
    </row>
    <row r="355" spans="1:33" x14ac:dyDescent="0.35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 cm="1">
        <f t="array" ref="AG355">_xlfn.IFS(A355&lt;30,"Below 30",A355&lt;40,"30-39",A355&lt;50,"40-49",TRUE,"50+")</f>
        <v>30-39</v>
      </c>
    </row>
    <row r="356" spans="1:33" x14ac:dyDescent="0.35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 cm="1">
        <f t="array" ref="AG356">_xlfn.IFS(A356&lt;30,"Below 30",A356&lt;40,"30-39",A356&lt;50,"40-49",TRUE,"50+")</f>
        <v>30-39</v>
      </c>
    </row>
    <row r="357" spans="1:33" x14ac:dyDescent="0.35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 cm="1">
        <f t="array" ref="AG357">_xlfn.IFS(A357&lt;30,"Below 30",A357&lt;40,"30-39",A357&lt;50,"40-49",TRUE,"50+")</f>
        <v>Below 30</v>
      </c>
    </row>
    <row r="358" spans="1:33" x14ac:dyDescent="0.35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 cm="1">
        <f t="array" ref="AG358">_xlfn.IFS(A358&lt;30,"Below 30",A358&lt;40,"30-39",A358&lt;50,"40-49",TRUE,"50+")</f>
        <v>40-49</v>
      </c>
    </row>
    <row r="359" spans="1:33" x14ac:dyDescent="0.35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 cm="1">
        <f t="array" ref="AG359">_xlfn.IFS(A359&lt;30,"Below 30",A359&lt;40,"30-39",A359&lt;50,"40-49",TRUE,"50+")</f>
        <v>Below 30</v>
      </c>
    </row>
    <row r="360" spans="1:33" x14ac:dyDescent="0.35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 cm="1">
        <f t="array" ref="AG360">_xlfn.IFS(A360&lt;30,"Below 30",A360&lt;40,"30-39",A360&lt;50,"40-49",TRUE,"50+")</f>
        <v>30-39</v>
      </c>
    </row>
    <row r="361" spans="1:33" x14ac:dyDescent="0.35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 cm="1">
        <f t="array" ref="AG361">_xlfn.IFS(A361&lt;30,"Below 30",A361&lt;40,"30-39",A361&lt;50,"40-49",TRUE,"50+")</f>
        <v>30-39</v>
      </c>
    </row>
    <row r="362" spans="1:33" x14ac:dyDescent="0.35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 cm="1">
        <f t="array" ref="AG362">_xlfn.IFS(A362&lt;30,"Below 30",A362&lt;40,"30-39",A362&lt;50,"40-49",TRUE,"50+")</f>
        <v>50+</v>
      </c>
    </row>
    <row r="363" spans="1:33" x14ac:dyDescent="0.35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 cm="1">
        <f t="array" ref="AG363">_xlfn.IFS(A363&lt;30,"Below 30",A363&lt;40,"30-39",A363&lt;50,"40-49",TRUE,"50+")</f>
        <v>40-49</v>
      </c>
    </row>
    <row r="364" spans="1:33" x14ac:dyDescent="0.35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 cm="1">
        <f t="array" ref="AG364">_xlfn.IFS(A364&lt;30,"Below 30",A364&lt;40,"30-39",A364&lt;50,"40-49",TRUE,"50+")</f>
        <v>Below 30</v>
      </c>
    </row>
    <row r="365" spans="1:33" x14ac:dyDescent="0.35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 cm="1">
        <f t="array" ref="AG365">_xlfn.IFS(A365&lt;30,"Below 30",A365&lt;40,"30-39",A365&lt;50,"40-49",TRUE,"50+")</f>
        <v>30-39</v>
      </c>
    </row>
    <row r="366" spans="1:33" x14ac:dyDescent="0.35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 cm="1">
        <f t="array" ref="AG366">_xlfn.IFS(A366&lt;30,"Below 30",A366&lt;40,"30-39",A366&lt;50,"40-49",TRUE,"50+")</f>
        <v>30-39</v>
      </c>
    </row>
    <row r="367" spans="1:33" x14ac:dyDescent="0.35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 cm="1">
        <f t="array" ref="AG367">_xlfn.IFS(A367&lt;30,"Below 30",A367&lt;40,"30-39",A367&lt;50,"40-49",TRUE,"50+")</f>
        <v>40-49</v>
      </c>
    </row>
    <row r="368" spans="1:33" x14ac:dyDescent="0.35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 cm="1">
        <f t="array" ref="AG368">_xlfn.IFS(A368&lt;30,"Below 30",A368&lt;40,"30-39",A368&lt;50,"40-49",TRUE,"50+")</f>
        <v>40-49</v>
      </c>
    </row>
    <row r="369" spans="1:33" x14ac:dyDescent="0.35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 cm="1">
        <f t="array" ref="AG369">_xlfn.IFS(A369&lt;30,"Below 30",A369&lt;40,"30-39",A369&lt;50,"40-49",TRUE,"50+")</f>
        <v>50+</v>
      </c>
    </row>
    <row r="370" spans="1:33" x14ac:dyDescent="0.35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 cm="1">
        <f t="array" ref="AG370">_xlfn.IFS(A370&lt;30,"Below 30",A370&lt;40,"30-39",A370&lt;50,"40-49",TRUE,"50+")</f>
        <v>40-49</v>
      </c>
    </row>
    <row r="371" spans="1:33" x14ac:dyDescent="0.35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 cm="1">
        <f t="array" ref="AG371">_xlfn.IFS(A371&lt;30,"Below 30",A371&lt;40,"30-39",A371&lt;50,"40-49",TRUE,"50+")</f>
        <v>30-39</v>
      </c>
    </row>
    <row r="372" spans="1:33" x14ac:dyDescent="0.35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 cm="1">
        <f t="array" ref="AG372">_xlfn.IFS(A372&lt;30,"Below 30",A372&lt;40,"30-39",A372&lt;50,"40-49",TRUE,"50+")</f>
        <v>Below 30</v>
      </c>
    </row>
    <row r="373" spans="1:33" x14ac:dyDescent="0.35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 cm="1">
        <f t="array" ref="AG373">_xlfn.IFS(A373&lt;30,"Below 30",A373&lt;40,"30-39",A373&lt;50,"40-49",TRUE,"50+")</f>
        <v>Below 30</v>
      </c>
    </row>
    <row r="374" spans="1:33" x14ac:dyDescent="0.35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 cm="1">
        <f t="array" ref="AG374">_xlfn.IFS(A374&lt;30,"Below 30",A374&lt;40,"30-39",A374&lt;50,"40-49",TRUE,"50+")</f>
        <v>30-39</v>
      </c>
    </row>
    <row r="375" spans="1:33" x14ac:dyDescent="0.35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 cm="1">
        <f t="array" ref="AG375">_xlfn.IFS(A375&lt;30,"Below 30",A375&lt;40,"30-39",A375&lt;50,"40-49",TRUE,"50+")</f>
        <v>Below 30</v>
      </c>
    </row>
    <row r="376" spans="1:33" x14ac:dyDescent="0.35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 cm="1">
        <f t="array" ref="AG376">_xlfn.IFS(A376&lt;30,"Below 30",A376&lt;40,"30-39",A376&lt;50,"40-49",TRUE,"50+")</f>
        <v>Below 30</v>
      </c>
    </row>
    <row r="377" spans="1:33" x14ac:dyDescent="0.35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 cm="1">
        <f t="array" ref="AG377">_xlfn.IFS(A377&lt;30,"Below 30",A377&lt;40,"30-39",A377&lt;50,"40-49",TRUE,"50+")</f>
        <v>40-49</v>
      </c>
    </row>
    <row r="378" spans="1:33" x14ac:dyDescent="0.35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 cm="1">
        <f t="array" ref="AG378">_xlfn.IFS(A378&lt;30,"Below 30",A378&lt;40,"30-39",A378&lt;50,"40-49",TRUE,"50+")</f>
        <v>50+</v>
      </c>
    </row>
    <row r="379" spans="1:33" x14ac:dyDescent="0.35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 cm="1">
        <f t="array" ref="AG379">_xlfn.IFS(A379&lt;30,"Below 30",A379&lt;40,"30-39",A379&lt;50,"40-49",TRUE,"50+")</f>
        <v>30-39</v>
      </c>
    </row>
    <row r="380" spans="1:33" x14ac:dyDescent="0.35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 cm="1">
        <f t="array" ref="AG380">_xlfn.IFS(A380&lt;30,"Below 30",A380&lt;40,"30-39",A380&lt;50,"40-49",TRUE,"50+")</f>
        <v>30-39</v>
      </c>
    </row>
    <row r="381" spans="1:33" x14ac:dyDescent="0.35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 cm="1">
        <f t="array" ref="AG381">_xlfn.IFS(A381&lt;30,"Below 30",A381&lt;40,"30-39",A381&lt;50,"40-49",TRUE,"50+")</f>
        <v>50+</v>
      </c>
    </row>
    <row r="382" spans="1:33" x14ac:dyDescent="0.35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 cm="1">
        <f t="array" ref="AG382">_xlfn.IFS(A382&lt;30,"Below 30",A382&lt;40,"30-39",A382&lt;50,"40-49",TRUE,"50+")</f>
        <v>Below 30</v>
      </c>
    </row>
    <row r="383" spans="1:33" x14ac:dyDescent="0.35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 cm="1">
        <f t="array" ref="AG383">_xlfn.IFS(A383&lt;30,"Below 30",A383&lt;40,"30-39",A383&lt;50,"40-49",TRUE,"50+")</f>
        <v>30-39</v>
      </c>
    </row>
    <row r="384" spans="1:33" x14ac:dyDescent="0.35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 cm="1">
        <f t="array" ref="AG384">_xlfn.IFS(A384&lt;30,"Below 30",A384&lt;40,"30-39",A384&lt;50,"40-49",TRUE,"50+")</f>
        <v>Below 30</v>
      </c>
    </row>
    <row r="385" spans="1:33" x14ac:dyDescent="0.35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 cm="1">
        <f t="array" ref="AG385">_xlfn.IFS(A385&lt;30,"Below 30",A385&lt;40,"30-39",A385&lt;50,"40-49",TRUE,"50+")</f>
        <v>Below 30</v>
      </c>
    </row>
    <row r="386" spans="1:33" x14ac:dyDescent="0.35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 cm="1">
        <f t="array" ref="AG386">_xlfn.IFS(A386&lt;30,"Below 30",A386&lt;40,"30-39",A386&lt;50,"40-49",TRUE,"50+")</f>
        <v>30-39</v>
      </c>
    </row>
    <row r="387" spans="1:33" x14ac:dyDescent="0.35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 cm="1">
        <f t="array" ref="AG387">_xlfn.IFS(A387&lt;30,"Below 30",A387&lt;40,"30-39",A387&lt;50,"40-49",TRUE,"50+")</f>
        <v>30-39</v>
      </c>
    </row>
    <row r="388" spans="1:33" x14ac:dyDescent="0.35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 cm="1">
        <f t="array" ref="AG388">_xlfn.IFS(A388&lt;30,"Below 30",A388&lt;40,"30-39",A388&lt;50,"40-49",TRUE,"50+")</f>
        <v>30-39</v>
      </c>
    </row>
    <row r="389" spans="1:33" x14ac:dyDescent="0.35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 cm="1">
        <f t="array" ref="AG389">_xlfn.IFS(A389&lt;30,"Below 30",A389&lt;40,"30-39",A389&lt;50,"40-49",TRUE,"50+")</f>
        <v>40-49</v>
      </c>
    </row>
    <row r="390" spans="1:33" x14ac:dyDescent="0.35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 cm="1">
        <f t="array" ref="AG390">_xlfn.IFS(A390&lt;30,"Below 30",A390&lt;40,"30-39",A390&lt;50,"40-49",TRUE,"50+")</f>
        <v>40-49</v>
      </c>
    </row>
    <row r="391" spans="1:33" x14ac:dyDescent="0.35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 cm="1">
        <f t="array" ref="AG391">_xlfn.IFS(A391&lt;30,"Below 30",A391&lt;40,"30-39",A391&lt;50,"40-49",TRUE,"50+")</f>
        <v>30-39</v>
      </c>
    </row>
    <row r="392" spans="1:33" x14ac:dyDescent="0.35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 cm="1">
        <f t="array" ref="AG392">_xlfn.IFS(A392&lt;30,"Below 30",A392&lt;40,"30-39",A392&lt;50,"40-49",TRUE,"50+")</f>
        <v>40-49</v>
      </c>
    </row>
    <row r="393" spans="1:33" x14ac:dyDescent="0.35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 cm="1">
        <f t="array" ref="AG393">_xlfn.IFS(A393&lt;30,"Below 30",A393&lt;40,"30-39",A393&lt;50,"40-49",TRUE,"50+")</f>
        <v>40-49</v>
      </c>
    </row>
    <row r="394" spans="1:33" x14ac:dyDescent="0.35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 cm="1">
        <f t="array" ref="AG394">_xlfn.IFS(A394&lt;30,"Below 30",A394&lt;40,"30-39",A394&lt;50,"40-49",TRUE,"50+")</f>
        <v>50+</v>
      </c>
    </row>
    <row r="395" spans="1:33" x14ac:dyDescent="0.35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 cm="1">
        <f t="array" ref="AG395">_xlfn.IFS(A395&lt;30,"Below 30",A395&lt;40,"30-39",A395&lt;50,"40-49",TRUE,"50+")</f>
        <v>30-39</v>
      </c>
    </row>
    <row r="396" spans="1:33" x14ac:dyDescent="0.35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 cm="1">
        <f t="array" ref="AG396">_xlfn.IFS(A396&lt;30,"Below 30",A396&lt;40,"30-39",A396&lt;50,"40-49",TRUE,"50+")</f>
        <v>30-39</v>
      </c>
    </row>
    <row r="397" spans="1:33" x14ac:dyDescent="0.35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 cm="1">
        <f t="array" ref="AG397">_xlfn.IFS(A397&lt;30,"Below 30",A397&lt;40,"30-39",A397&lt;50,"40-49",TRUE,"50+")</f>
        <v>40-49</v>
      </c>
    </row>
    <row r="398" spans="1:33" x14ac:dyDescent="0.35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 cm="1">
        <f t="array" ref="AG398">_xlfn.IFS(A398&lt;30,"Below 30",A398&lt;40,"30-39",A398&lt;50,"40-49",TRUE,"50+")</f>
        <v>40-49</v>
      </c>
    </row>
    <row r="399" spans="1:33" x14ac:dyDescent="0.35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 cm="1">
        <f t="array" ref="AG399">_xlfn.IFS(A399&lt;30,"Below 30",A399&lt;40,"30-39",A399&lt;50,"40-49",TRUE,"50+")</f>
        <v>Below 30</v>
      </c>
    </row>
    <row r="400" spans="1:33" x14ac:dyDescent="0.35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 cm="1">
        <f t="array" ref="AG400">_xlfn.IFS(A400&lt;30,"Below 30",A400&lt;40,"30-39",A400&lt;50,"40-49",TRUE,"50+")</f>
        <v>30-39</v>
      </c>
    </row>
    <row r="401" spans="1:33" x14ac:dyDescent="0.35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 cm="1">
        <f t="array" ref="AG401">_xlfn.IFS(A401&lt;30,"Below 30",A401&lt;40,"30-39",A401&lt;50,"40-49",TRUE,"50+")</f>
        <v>30-39</v>
      </c>
    </row>
    <row r="402" spans="1:33" x14ac:dyDescent="0.35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 cm="1">
        <f t="array" ref="AG402">_xlfn.IFS(A402&lt;30,"Below 30",A402&lt;40,"30-39",A402&lt;50,"40-49",TRUE,"50+")</f>
        <v>30-39</v>
      </c>
    </row>
    <row r="403" spans="1:33" x14ac:dyDescent="0.35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 cm="1">
        <f t="array" ref="AG403">_xlfn.IFS(A403&lt;30,"Below 30",A403&lt;40,"30-39",A403&lt;50,"40-49",TRUE,"50+")</f>
        <v>50+</v>
      </c>
    </row>
    <row r="404" spans="1:33" x14ac:dyDescent="0.35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 cm="1">
        <f t="array" ref="AG404">_xlfn.IFS(A404&lt;30,"Below 30",A404&lt;40,"30-39",A404&lt;50,"40-49",TRUE,"50+")</f>
        <v>30-39</v>
      </c>
    </row>
    <row r="405" spans="1:33" x14ac:dyDescent="0.35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 cm="1">
        <f t="array" ref="AG405">_xlfn.IFS(A405&lt;30,"Below 30",A405&lt;40,"30-39",A405&lt;50,"40-49",TRUE,"50+")</f>
        <v>40-49</v>
      </c>
    </row>
    <row r="406" spans="1:33" x14ac:dyDescent="0.35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 cm="1">
        <f t="array" ref="AG406">_xlfn.IFS(A406&lt;30,"Below 30",A406&lt;40,"30-39",A406&lt;50,"40-49",TRUE,"50+")</f>
        <v>Below 30</v>
      </c>
    </row>
    <row r="407" spans="1:33" x14ac:dyDescent="0.35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 cm="1">
        <f t="array" ref="AG407">_xlfn.IFS(A407&lt;30,"Below 30",A407&lt;40,"30-39",A407&lt;50,"40-49",TRUE,"50+")</f>
        <v>Below 30</v>
      </c>
    </row>
    <row r="408" spans="1:33" x14ac:dyDescent="0.35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 cm="1">
        <f t="array" ref="AG408">_xlfn.IFS(A408&lt;30,"Below 30",A408&lt;40,"30-39",A408&lt;50,"40-49",TRUE,"50+")</f>
        <v>50+</v>
      </c>
    </row>
    <row r="409" spans="1:33" x14ac:dyDescent="0.35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 cm="1">
        <f t="array" ref="AG409">_xlfn.IFS(A409&lt;30,"Below 30",A409&lt;40,"30-39",A409&lt;50,"40-49",TRUE,"50+")</f>
        <v>40-49</v>
      </c>
    </row>
    <row r="410" spans="1:33" x14ac:dyDescent="0.35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 cm="1">
        <f t="array" ref="AG410">_xlfn.IFS(A410&lt;30,"Below 30",A410&lt;40,"30-39",A410&lt;50,"40-49",TRUE,"50+")</f>
        <v>50+</v>
      </c>
    </row>
    <row r="411" spans="1:33" x14ac:dyDescent="0.35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 cm="1">
        <f t="array" ref="AG411">_xlfn.IFS(A411&lt;30,"Below 30",A411&lt;40,"30-39",A411&lt;50,"40-49",TRUE,"50+")</f>
        <v>40-49</v>
      </c>
    </row>
    <row r="412" spans="1:33" x14ac:dyDescent="0.35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 cm="1">
        <f t="array" ref="AG412">_xlfn.IFS(A412&lt;30,"Below 30",A412&lt;40,"30-39",A412&lt;50,"40-49",TRUE,"50+")</f>
        <v>30-39</v>
      </c>
    </row>
    <row r="413" spans="1:33" x14ac:dyDescent="0.35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 cm="1">
        <f t="array" ref="AG413">_xlfn.IFS(A413&lt;30,"Below 30",A413&lt;40,"30-39",A413&lt;50,"40-49",TRUE,"50+")</f>
        <v>50+</v>
      </c>
    </row>
    <row r="414" spans="1:33" x14ac:dyDescent="0.35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 cm="1">
        <f t="array" ref="AG414">_xlfn.IFS(A414&lt;30,"Below 30",A414&lt;40,"30-39",A414&lt;50,"40-49",TRUE,"50+")</f>
        <v>40-49</v>
      </c>
    </row>
    <row r="415" spans="1:33" x14ac:dyDescent="0.35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 cm="1">
        <f t="array" ref="AG415">_xlfn.IFS(A415&lt;30,"Below 30",A415&lt;40,"30-39",A415&lt;50,"40-49",TRUE,"50+")</f>
        <v>40-49</v>
      </c>
    </row>
    <row r="416" spans="1:33" x14ac:dyDescent="0.35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 cm="1">
        <f t="array" ref="AG416">_xlfn.IFS(A416&lt;30,"Below 30",A416&lt;40,"30-39",A416&lt;50,"40-49",TRUE,"50+")</f>
        <v>Below 30</v>
      </c>
    </row>
    <row r="417" spans="1:33" x14ac:dyDescent="0.35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 cm="1">
        <f t="array" ref="AG417">_xlfn.IFS(A417&lt;30,"Below 30",A417&lt;40,"30-39",A417&lt;50,"40-49",TRUE,"50+")</f>
        <v>30-39</v>
      </c>
    </row>
    <row r="418" spans="1:33" x14ac:dyDescent="0.35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 cm="1">
        <f t="array" ref="AG418">_xlfn.IFS(A418&lt;30,"Below 30",A418&lt;40,"30-39",A418&lt;50,"40-49",TRUE,"50+")</f>
        <v>30-39</v>
      </c>
    </row>
    <row r="419" spans="1:33" x14ac:dyDescent="0.35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 cm="1">
        <f t="array" ref="AG419">_xlfn.IFS(A419&lt;30,"Below 30",A419&lt;40,"30-39",A419&lt;50,"40-49",TRUE,"50+")</f>
        <v>40-49</v>
      </c>
    </row>
    <row r="420" spans="1:33" x14ac:dyDescent="0.35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 cm="1">
        <f t="array" ref="AG420">_xlfn.IFS(A420&lt;30,"Below 30",A420&lt;40,"30-39",A420&lt;50,"40-49",TRUE,"50+")</f>
        <v>Below 30</v>
      </c>
    </row>
    <row r="421" spans="1:33" x14ac:dyDescent="0.35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 cm="1">
        <f t="array" ref="AG421">_xlfn.IFS(A421&lt;30,"Below 30",A421&lt;40,"30-39",A421&lt;50,"40-49",TRUE,"50+")</f>
        <v>30-39</v>
      </c>
    </row>
    <row r="422" spans="1:33" x14ac:dyDescent="0.35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 cm="1">
        <f t="array" ref="AG422">_xlfn.IFS(A422&lt;30,"Below 30",A422&lt;40,"30-39",A422&lt;50,"40-49",TRUE,"50+")</f>
        <v>Below 30</v>
      </c>
    </row>
    <row r="423" spans="1:33" x14ac:dyDescent="0.35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 cm="1">
        <f t="array" ref="AG423">_xlfn.IFS(A423&lt;30,"Below 30",A423&lt;40,"30-39",A423&lt;50,"40-49",TRUE,"50+")</f>
        <v>Below 30</v>
      </c>
    </row>
    <row r="424" spans="1:33" x14ac:dyDescent="0.35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 cm="1">
        <f t="array" ref="AG424">_xlfn.IFS(A424&lt;30,"Below 30",A424&lt;40,"30-39",A424&lt;50,"40-49",TRUE,"50+")</f>
        <v>Below 30</v>
      </c>
    </row>
    <row r="425" spans="1:33" x14ac:dyDescent="0.35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 cm="1">
        <f t="array" ref="AG425">_xlfn.IFS(A425&lt;30,"Below 30",A425&lt;40,"30-39",A425&lt;50,"40-49",TRUE,"50+")</f>
        <v>30-39</v>
      </c>
    </row>
    <row r="426" spans="1:33" x14ac:dyDescent="0.35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 cm="1">
        <f t="array" ref="AG426">_xlfn.IFS(A426&lt;30,"Below 30",A426&lt;40,"30-39",A426&lt;50,"40-49",TRUE,"50+")</f>
        <v>50+</v>
      </c>
    </row>
    <row r="427" spans="1:33" x14ac:dyDescent="0.35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 cm="1">
        <f t="array" ref="AG427">_xlfn.IFS(A427&lt;30,"Below 30",A427&lt;40,"30-39",A427&lt;50,"40-49",TRUE,"50+")</f>
        <v>50+</v>
      </c>
    </row>
    <row r="428" spans="1:33" x14ac:dyDescent="0.35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 cm="1">
        <f t="array" ref="AG428">_xlfn.IFS(A428&lt;30,"Below 30",A428&lt;40,"30-39",A428&lt;50,"40-49",TRUE,"50+")</f>
        <v>30-39</v>
      </c>
    </row>
    <row r="429" spans="1:33" x14ac:dyDescent="0.35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 cm="1">
        <f t="array" ref="AG429">_xlfn.IFS(A429&lt;30,"Below 30",A429&lt;40,"30-39",A429&lt;50,"40-49",TRUE,"50+")</f>
        <v>50+</v>
      </c>
    </row>
    <row r="430" spans="1:33" x14ac:dyDescent="0.35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 cm="1">
        <f t="array" ref="AG430">_xlfn.IFS(A430&lt;30,"Below 30",A430&lt;40,"30-39",A430&lt;50,"40-49",TRUE,"50+")</f>
        <v>40-49</v>
      </c>
    </row>
    <row r="431" spans="1:33" x14ac:dyDescent="0.35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 cm="1">
        <f t="array" ref="AG431">_xlfn.IFS(A431&lt;30,"Below 30",A431&lt;40,"30-39",A431&lt;50,"40-49",TRUE,"50+")</f>
        <v>40-49</v>
      </c>
    </row>
    <row r="432" spans="1:33" x14ac:dyDescent="0.35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 cm="1">
        <f t="array" ref="AG432">_xlfn.IFS(A432&lt;30,"Below 30",A432&lt;40,"30-39",A432&lt;50,"40-49",TRUE,"50+")</f>
        <v>30-39</v>
      </c>
    </row>
    <row r="433" spans="1:33" x14ac:dyDescent="0.35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 cm="1">
        <f t="array" ref="AG433">_xlfn.IFS(A433&lt;30,"Below 30",A433&lt;40,"30-39",A433&lt;50,"40-49",TRUE,"50+")</f>
        <v>50+</v>
      </c>
    </row>
    <row r="434" spans="1:33" x14ac:dyDescent="0.35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 cm="1">
        <f t="array" ref="AG434">_xlfn.IFS(A434&lt;30,"Below 30",A434&lt;40,"30-39",A434&lt;50,"40-49",TRUE,"50+")</f>
        <v>30-39</v>
      </c>
    </row>
    <row r="435" spans="1:33" x14ac:dyDescent="0.35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 cm="1">
        <f t="array" ref="AG435">_xlfn.IFS(A435&lt;30,"Below 30",A435&lt;40,"30-39",A435&lt;50,"40-49",TRUE,"50+")</f>
        <v>40-49</v>
      </c>
    </row>
    <row r="436" spans="1:33" x14ac:dyDescent="0.35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 cm="1">
        <f t="array" ref="AG436">_xlfn.IFS(A436&lt;30,"Below 30",A436&lt;40,"30-39",A436&lt;50,"40-49",TRUE,"50+")</f>
        <v>30-39</v>
      </c>
    </row>
    <row r="437" spans="1:33" x14ac:dyDescent="0.35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 cm="1">
        <f t="array" ref="AG437">_xlfn.IFS(A437&lt;30,"Below 30",A437&lt;40,"30-39",A437&lt;50,"40-49",TRUE,"50+")</f>
        <v>30-39</v>
      </c>
    </row>
    <row r="438" spans="1:33" x14ac:dyDescent="0.35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 cm="1">
        <f t="array" ref="AG438">_xlfn.IFS(A438&lt;30,"Below 30",A438&lt;40,"30-39",A438&lt;50,"40-49",TRUE,"50+")</f>
        <v>30-39</v>
      </c>
    </row>
    <row r="439" spans="1:33" x14ac:dyDescent="0.35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 cm="1">
        <f t="array" ref="AG439">_xlfn.IFS(A439&lt;30,"Below 30",A439&lt;40,"30-39",A439&lt;50,"40-49",TRUE,"50+")</f>
        <v>30-39</v>
      </c>
    </row>
    <row r="440" spans="1:33" x14ac:dyDescent="0.35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 cm="1">
        <f t="array" ref="AG440">_xlfn.IFS(A440&lt;30,"Below 30",A440&lt;40,"30-39",A440&lt;50,"40-49",TRUE,"50+")</f>
        <v>30-39</v>
      </c>
    </row>
    <row r="441" spans="1:33" x14ac:dyDescent="0.35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 cm="1">
        <f t="array" ref="AG441">_xlfn.IFS(A441&lt;30,"Below 30",A441&lt;40,"30-39",A441&lt;50,"40-49",TRUE,"50+")</f>
        <v>30-39</v>
      </c>
    </row>
    <row r="442" spans="1:33" x14ac:dyDescent="0.35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 cm="1">
        <f t="array" ref="AG442">_xlfn.IFS(A442&lt;30,"Below 30",A442&lt;40,"30-39",A442&lt;50,"40-49",TRUE,"50+")</f>
        <v>30-39</v>
      </c>
    </row>
    <row r="443" spans="1:33" x14ac:dyDescent="0.35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 cm="1">
        <f t="array" ref="AG443">_xlfn.IFS(A443&lt;30,"Below 30",A443&lt;40,"30-39",A443&lt;50,"40-49",TRUE,"50+")</f>
        <v>40-49</v>
      </c>
    </row>
    <row r="444" spans="1:33" x14ac:dyDescent="0.35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 cm="1">
        <f t="array" ref="AG444">_xlfn.IFS(A444&lt;30,"Below 30",A444&lt;40,"30-39",A444&lt;50,"40-49",TRUE,"50+")</f>
        <v>30-39</v>
      </c>
    </row>
    <row r="445" spans="1:33" x14ac:dyDescent="0.35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 cm="1">
        <f t="array" ref="AG445">_xlfn.IFS(A445&lt;30,"Below 30",A445&lt;40,"30-39",A445&lt;50,"40-49",TRUE,"50+")</f>
        <v>Below 30</v>
      </c>
    </row>
    <row r="446" spans="1:33" x14ac:dyDescent="0.35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 cm="1">
        <f t="array" ref="AG446">_xlfn.IFS(A446&lt;30,"Below 30",A446&lt;40,"30-39",A446&lt;50,"40-49",TRUE,"50+")</f>
        <v>40-49</v>
      </c>
    </row>
    <row r="447" spans="1:33" x14ac:dyDescent="0.35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 cm="1">
        <f t="array" ref="AG447">_xlfn.IFS(A447&lt;30,"Below 30",A447&lt;40,"30-39",A447&lt;50,"40-49",TRUE,"50+")</f>
        <v>50+</v>
      </c>
    </row>
    <row r="448" spans="1:33" x14ac:dyDescent="0.35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 cm="1">
        <f t="array" ref="AG448">_xlfn.IFS(A448&lt;30,"Below 30",A448&lt;40,"30-39",A448&lt;50,"40-49",TRUE,"50+")</f>
        <v>40-49</v>
      </c>
    </row>
    <row r="449" spans="1:33" x14ac:dyDescent="0.35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 cm="1">
        <f t="array" ref="AG449">_xlfn.IFS(A449&lt;30,"Below 30",A449&lt;40,"30-39",A449&lt;50,"40-49",TRUE,"50+")</f>
        <v>30-39</v>
      </c>
    </row>
    <row r="450" spans="1:33" x14ac:dyDescent="0.35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 cm="1">
        <f t="array" ref="AG450">_xlfn.IFS(A450&lt;30,"Below 30",A450&lt;40,"30-39",A450&lt;50,"40-49",TRUE,"50+")</f>
        <v>40-49</v>
      </c>
    </row>
    <row r="451" spans="1:33" x14ac:dyDescent="0.35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 cm="1">
        <f t="array" ref="AG451">_xlfn.IFS(A451&lt;30,"Below 30",A451&lt;40,"30-39",A451&lt;50,"40-49",TRUE,"50+")</f>
        <v>30-39</v>
      </c>
    </row>
    <row r="452" spans="1:33" x14ac:dyDescent="0.35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 cm="1">
        <f t="array" ref="AG452">_xlfn.IFS(A452&lt;30,"Below 30",A452&lt;40,"30-39",A452&lt;50,"40-49",TRUE,"50+")</f>
        <v>30-39</v>
      </c>
    </row>
    <row r="453" spans="1:33" x14ac:dyDescent="0.35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 cm="1">
        <f t="array" ref="AG453">_xlfn.IFS(A453&lt;30,"Below 30",A453&lt;40,"30-39",A453&lt;50,"40-49",TRUE,"50+")</f>
        <v>40-49</v>
      </c>
    </row>
    <row r="454" spans="1:33" x14ac:dyDescent="0.35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 cm="1">
        <f t="array" ref="AG454">_xlfn.IFS(A454&lt;30,"Below 30",A454&lt;40,"30-39",A454&lt;50,"40-49",TRUE,"50+")</f>
        <v>40-49</v>
      </c>
    </row>
    <row r="455" spans="1:33" x14ac:dyDescent="0.35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 cm="1">
        <f t="array" ref="AG455">_xlfn.IFS(A455&lt;30,"Below 30",A455&lt;40,"30-39",A455&lt;50,"40-49",TRUE,"50+")</f>
        <v>Below 30</v>
      </c>
    </row>
    <row r="456" spans="1:33" x14ac:dyDescent="0.35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 cm="1">
        <f t="array" ref="AG456">_xlfn.IFS(A456&lt;30,"Below 30",A456&lt;40,"30-39",A456&lt;50,"40-49",TRUE,"50+")</f>
        <v>Below 30</v>
      </c>
    </row>
    <row r="457" spans="1:33" x14ac:dyDescent="0.35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 cm="1">
        <f t="array" ref="AG457">_xlfn.IFS(A457&lt;30,"Below 30",A457&lt;40,"30-39",A457&lt;50,"40-49",TRUE,"50+")</f>
        <v>30-39</v>
      </c>
    </row>
    <row r="458" spans="1:33" x14ac:dyDescent="0.35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 cm="1">
        <f t="array" ref="AG458">_xlfn.IFS(A458&lt;30,"Below 30",A458&lt;40,"30-39",A458&lt;50,"40-49",TRUE,"50+")</f>
        <v>30-39</v>
      </c>
    </row>
    <row r="459" spans="1:33" x14ac:dyDescent="0.35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 cm="1">
        <f t="array" ref="AG459">_xlfn.IFS(A459&lt;30,"Below 30",A459&lt;40,"30-39",A459&lt;50,"40-49",TRUE,"50+")</f>
        <v>Below 30</v>
      </c>
    </row>
    <row r="460" spans="1:33" x14ac:dyDescent="0.35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 cm="1">
        <f t="array" ref="AG460">_xlfn.IFS(A460&lt;30,"Below 30",A460&lt;40,"30-39",A460&lt;50,"40-49",TRUE,"50+")</f>
        <v>40-49</v>
      </c>
    </row>
    <row r="461" spans="1:33" x14ac:dyDescent="0.35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 cm="1">
        <f t="array" ref="AG461">_xlfn.IFS(A461&lt;30,"Below 30",A461&lt;40,"30-39",A461&lt;50,"40-49",TRUE,"50+")</f>
        <v>40-49</v>
      </c>
    </row>
    <row r="462" spans="1:33" x14ac:dyDescent="0.35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 cm="1">
        <f t="array" ref="AG462">_xlfn.IFS(A462&lt;30,"Below 30",A462&lt;40,"30-39",A462&lt;50,"40-49",TRUE,"50+")</f>
        <v>Below 30</v>
      </c>
    </row>
    <row r="463" spans="1:33" x14ac:dyDescent="0.35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 cm="1">
        <f t="array" ref="AG463">_xlfn.IFS(A463&lt;30,"Below 30",A463&lt;40,"30-39",A463&lt;50,"40-49",TRUE,"50+")</f>
        <v>30-39</v>
      </c>
    </row>
    <row r="464" spans="1:33" x14ac:dyDescent="0.35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 cm="1">
        <f t="array" ref="AG464">_xlfn.IFS(A464&lt;30,"Below 30",A464&lt;40,"30-39",A464&lt;50,"40-49",TRUE,"50+")</f>
        <v>30-39</v>
      </c>
    </row>
    <row r="465" spans="1:33" x14ac:dyDescent="0.35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 cm="1">
        <f t="array" ref="AG465">_xlfn.IFS(A465&lt;30,"Below 30",A465&lt;40,"30-39",A465&lt;50,"40-49",TRUE,"50+")</f>
        <v>Below 30</v>
      </c>
    </row>
    <row r="466" spans="1:33" x14ac:dyDescent="0.35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 cm="1">
        <f t="array" ref="AG466">_xlfn.IFS(A466&lt;30,"Below 30",A466&lt;40,"30-39",A466&lt;50,"40-49",TRUE,"50+")</f>
        <v>30-39</v>
      </c>
    </row>
    <row r="467" spans="1:33" x14ac:dyDescent="0.35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 cm="1">
        <f t="array" ref="AG467">_xlfn.IFS(A467&lt;30,"Below 30",A467&lt;40,"30-39",A467&lt;50,"40-49",TRUE,"50+")</f>
        <v>40-49</v>
      </c>
    </row>
    <row r="468" spans="1:33" x14ac:dyDescent="0.35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 cm="1">
        <f t="array" ref="AG468">_xlfn.IFS(A468&lt;30,"Below 30",A468&lt;40,"30-39",A468&lt;50,"40-49",TRUE,"50+")</f>
        <v>40-49</v>
      </c>
    </row>
    <row r="469" spans="1:33" x14ac:dyDescent="0.35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 cm="1">
        <f t="array" ref="AG469">_xlfn.IFS(A469&lt;30,"Below 30",A469&lt;40,"30-39",A469&lt;50,"40-49",TRUE,"50+")</f>
        <v>30-39</v>
      </c>
    </row>
    <row r="470" spans="1:33" x14ac:dyDescent="0.35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 cm="1">
        <f t="array" ref="AG470">_xlfn.IFS(A470&lt;30,"Below 30",A470&lt;40,"30-39",A470&lt;50,"40-49",TRUE,"50+")</f>
        <v>50+</v>
      </c>
    </row>
    <row r="471" spans="1:33" x14ac:dyDescent="0.35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 cm="1">
        <f t="array" ref="AG471">_xlfn.IFS(A471&lt;30,"Below 30",A471&lt;40,"30-39",A471&lt;50,"40-49",TRUE,"50+")</f>
        <v>30-39</v>
      </c>
    </row>
    <row r="472" spans="1:33" x14ac:dyDescent="0.35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 cm="1">
        <f t="array" ref="AG472">_xlfn.IFS(A472&lt;30,"Below 30",A472&lt;40,"30-39",A472&lt;50,"40-49",TRUE,"50+")</f>
        <v>Below 30</v>
      </c>
    </row>
    <row r="473" spans="1:33" x14ac:dyDescent="0.35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 cm="1">
        <f t="array" ref="AG473">_xlfn.IFS(A473&lt;30,"Below 30",A473&lt;40,"30-39",A473&lt;50,"40-49",TRUE,"50+")</f>
        <v>30-39</v>
      </c>
    </row>
    <row r="474" spans="1:33" x14ac:dyDescent="0.35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 cm="1">
        <f t="array" ref="AG474">_xlfn.IFS(A474&lt;30,"Below 30",A474&lt;40,"30-39",A474&lt;50,"40-49",TRUE,"50+")</f>
        <v>30-39</v>
      </c>
    </row>
    <row r="475" spans="1:33" x14ac:dyDescent="0.35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 cm="1">
        <f t="array" ref="AG475">_xlfn.IFS(A475&lt;30,"Below 30",A475&lt;40,"30-39",A475&lt;50,"40-49",TRUE,"50+")</f>
        <v>40-49</v>
      </c>
    </row>
    <row r="476" spans="1:33" x14ac:dyDescent="0.35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 cm="1">
        <f t="array" ref="AG476">_xlfn.IFS(A476&lt;30,"Below 30",A476&lt;40,"30-39",A476&lt;50,"40-49",TRUE,"50+")</f>
        <v>Below 30</v>
      </c>
    </row>
    <row r="477" spans="1:33" x14ac:dyDescent="0.35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 cm="1">
        <f t="array" ref="AG477">_xlfn.IFS(A477&lt;30,"Below 30",A477&lt;40,"30-39",A477&lt;50,"40-49",TRUE,"50+")</f>
        <v>Below 30</v>
      </c>
    </row>
    <row r="478" spans="1:33" x14ac:dyDescent="0.35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 cm="1">
        <f t="array" ref="AG478">_xlfn.IFS(A478&lt;30,"Below 30",A478&lt;40,"30-39",A478&lt;50,"40-49",TRUE,"50+")</f>
        <v>Below 30</v>
      </c>
    </row>
    <row r="479" spans="1:33" x14ac:dyDescent="0.35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 cm="1">
        <f t="array" ref="AG479">_xlfn.IFS(A479&lt;30,"Below 30",A479&lt;40,"30-39",A479&lt;50,"40-49",TRUE,"50+")</f>
        <v>50+</v>
      </c>
    </row>
    <row r="480" spans="1:33" x14ac:dyDescent="0.35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 cm="1">
        <f t="array" ref="AG480">_xlfn.IFS(A480&lt;30,"Below 30",A480&lt;40,"30-39",A480&lt;50,"40-49",TRUE,"50+")</f>
        <v>Below 30</v>
      </c>
    </row>
    <row r="481" spans="1:33" x14ac:dyDescent="0.35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 cm="1">
        <f t="array" ref="AG481">_xlfn.IFS(A481&lt;30,"Below 30",A481&lt;40,"30-39",A481&lt;50,"40-49",TRUE,"50+")</f>
        <v>Below 30</v>
      </c>
    </row>
    <row r="482" spans="1:33" x14ac:dyDescent="0.35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 cm="1">
        <f t="array" ref="AG482">_xlfn.IFS(A482&lt;30,"Below 30",A482&lt;40,"30-39",A482&lt;50,"40-49",TRUE,"50+")</f>
        <v>30-39</v>
      </c>
    </row>
    <row r="483" spans="1:33" x14ac:dyDescent="0.35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 cm="1">
        <f t="array" ref="AG483">_xlfn.IFS(A483&lt;30,"Below 30",A483&lt;40,"30-39",A483&lt;50,"40-49",TRUE,"50+")</f>
        <v>30-39</v>
      </c>
    </row>
    <row r="484" spans="1:33" x14ac:dyDescent="0.35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 cm="1">
        <f t="array" ref="AG484">_xlfn.IFS(A484&lt;30,"Below 30",A484&lt;40,"30-39",A484&lt;50,"40-49",TRUE,"50+")</f>
        <v>30-39</v>
      </c>
    </row>
    <row r="485" spans="1:33" x14ac:dyDescent="0.35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 cm="1">
        <f t="array" ref="AG485">_xlfn.IFS(A485&lt;30,"Below 30",A485&lt;40,"30-39",A485&lt;50,"40-49",TRUE,"50+")</f>
        <v>30-39</v>
      </c>
    </row>
    <row r="486" spans="1:33" x14ac:dyDescent="0.35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 cm="1">
        <f t="array" ref="AG486">_xlfn.IFS(A486&lt;30,"Below 30",A486&lt;40,"30-39",A486&lt;50,"40-49",TRUE,"50+")</f>
        <v>30-39</v>
      </c>
    </row>
    <row r="487" spans="1:33" x14ac:dyDescent="0.35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 cm="1">
        <f t="array" ref="AG487">_xlfn.IFS(A487&lt;30,"Below 30",A487&lt;40,"30-39",A487&lt;50,"40-49",TRUE,"50+")</f>
        <v>Below 30</v>
      </c>
    </row>
    <row r="488" spans="1:33" x14ac:dyDescent="0.35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 cm="1">
        <f t="array" ref="AG488">_xlfn.IFS(A488&lt;30,"Below 30",A488&lt;40,"30-39",A488&lt;50,"40-49",TRUE,"50+")</f>
        <v>30-39</v>
      </c>
    </row>
    <row r="489" spans="1:33" x14ac:dyDescent="0.35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 cm="1">
        <f t="array" ref="AG489">_xlfn.IFS(A489&lt;30,"Below 30",A489&lt;40,"30-39",A489&lt;50,"40-49",TRUE,"50+")</f>
        <v>Below 30</v>
      </c>
    </row>
    <row r="490" spans="1:33" x14ac:dyDescent="0.35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 cm="1">
        <f t="array" ref="AG490">_xlfn.IFS(A490&lt;30,"Below 30",A490&lt;40,"30-39",A490&lt;50,"40-49",TRUE,"50+")</f>
        <v>40-49</v>
      </c>
    </row>
    <row r="491" spans="1:33" x14ac:dyDescent="0.35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 cm="1">
        <f t="array" ref="AG491">_xlfn.IFS(A491&lt;30,"Below 30",A491&lt;40,"30-39",A491&lt;50,"40-49",TRUE,"50+")</f>
        <v>40-49</v>
      </c>
    </row>
    <row r="492" spans="1:33" x14ac:dyDescent="0.35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 cm="1">
        <f t="array" ref="AG492">_xlfn.IFS(A492&lt;30,"Below 30",A492&lt;40,"30-39",A492&lt;50,"40-49",TRUE,"50+")</f>
        <v>30-39</v>
      </c>
    </row>
    <row r="493" spans="1:33" x14ac:dyDescent="0.35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 cm="1">
        <f t="array" ref="AG493">_xlfn.IFS(A493&lt;30,"Below 30",A493&lt;40,"30-39",A493&lt;50,"40-49",TRUE,"50+")</f>
        <v>40-49</v>
      </c>
    </row>
    <row r="494" spans="1:33" x14ac:dyDescent="0.35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 cm="1">
        <f t="array" ref="AG494">_xlfn.IFS(A494&lt;30,"Below 30",A494&lt;40,"30-39",A494&lt;50,"40-49",TRUE,"50+")</f>
        <v>40-49</v>
      </c>
    </row>
    <row r="495" spans="1:33" x14ac:dyDescent="0.35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 cm="1">
        <f t="array" ref="AG495">_xlfn.IFS(A495&lt;30,"Below 30",A495&lt;40,"30-39",A495&lt;50,"40-49",TRUE,"50+")</f>
        <v>40-49</v>
      </c>
    </row>
    <row r="496" spans="1:33" x14ac:dyDescent="0.35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 cm="1">
        <f t="array" ref="AG496">_xlfn.IFS(A496&lt;30,"Below 30",A496&lt;40,"30-39",A496&lt;50,"40-49",TRUE,"50+")</f>
        <v>30-39</v>
      </c>
    </row>
    <row r="497" spans="1:33" x14ac:dyDescent="0.35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 cm="1">
        <f t="array" ref="AG497">_xlfn.IFS(A497&lt;30,"Below 30",A497&lt;40,"30-39",A497&lt;50,"40-49",TRUE,"50+")</f>
        <v>Below 30</v>
      </c>
    </row>
    <row r="498" spans="1:33" x14ac:dyDescent="0.35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 cm="1">
        <f t="array" ref="AG498">_xlfn.IFS(A498&lt;30,"Below 30",A498&lt;40,"30-39",A498&lt;50,"40-49",TRUE,"50+")</f>
        <v>Below 30</v>
      </c>
    </row>
    <row r="499" spans="1:33" x14ac:dyDescent="0.35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 cm="1">
        <f t="array" ref="AG499">_xlfn.IFS(A499&lt;30,"Below 30",A499&lt;40,"30-39",A499&lt;50,"40-49",TRUE,"50+")</f>
        <v>40-49</v>
      </c>
    </row>
    <row r="500" spans="1:33" x14ac:dyDescent="0.35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 cm="1">
        <f t="array" ref="AG500">_xlfn.IFS(A500&lt;30,"Below 30",A500&lt;40,"30-39",A500&lt;50,"40-49",TRUE,"50+")</f>
        <v>Below 30</v>
      </c>
    </row>
    <row r="501" spans="1:33" x14ac:dyDescent="0.35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 cm="1">
        <f t="array" ref="AG501">_xlfn.IFS(A501&lt;30,"Below 30",A501&lt;40,"30-39",A501&lt;50,"40-49",TRUE,"50+")</f>
        <v>30-39</v>
      </c>
    </row>
    <row r="502" spans="1:33" x14ac:dyDescent="0.35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 cm="1">
        <f t="array" ref="AG502">_xlfn.IFS(A502&lt;30,"Below 30",A502&lt;40,"30-39",A502&lt;50,"40-49",TRUE,"50+")</f>
        <v>30-39</v>
      </c>
    </row>
    <row r="503" spans="1:33" x14ac:dyDescent="0.35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 cm="1">
        <f t="array" ref="AG503">_xlfn.IFS(A503&lt;30,"Below 30",A503&lt;40,"30-39",A503&lt;50,"40-49",TRUE,"50+")</f>
        <v>30-39</v>
      </c>
    </row>
    <row r="504" spans="1:33" x14ac:dyDescent="0.35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 cm="1">
        <f t="array" ref="AG504">_xlfn.IFS(A504&lt;30,"Below 30",A504&lt;40,"30-39",A504&lt;50,"40-49",TRUE,"50+")</f>
        <v>50+</v>
      </c>
    </row>
    <row r="505" spans="1:33" x14ac:dyDescent="0.35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 cm="1">
        <f t="array" ref="AG505">_xlfn.IFS(A505&lt;30,"Below 30",A505&lt;40,"30-39",A505&lt;50,"40-49",TRUE,"50+")</f>
        <v>30-39</v>
      </c>
    </row>
    <row r="506" spans="1:33" x14ac:dyDescent="0.35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 cm="1">
        <f t="array" ref="AG506">_xlfn.IFS(A506&lt;30,"Below 30",A506&lt;40,"30-39",A506&lt;50,"40-49",TRUE,"50+")</f>
        <v>40-49</v>
      </c>
    </row>
    <row r="507" spans="1:33" x14ac:dyDescent="0.35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 cm="1">
        <f t="array" ref="AG507">_xlfn.IFS(A507&lt;30,"Below 30",A507&lt;40,"30-39",A507&lt;50,"40-49",TRUE,"50+")</f>
        <v>Below 30</v>
      </c>
    </row>
    <row r="508" spans="1:33" x14ac:dyDescent="0.35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 cm="1">
        <f t="array" ref="AG508">_xlfn.IFS(A508&lt;30,"Below 30",A508&lt;40,"30-39",A508&lt;50,"40-49",TRUE,"50+")</f>
        <v>30-39</v>
      </c>
    </row>
    <row r="509" spans="1:33" x14ac:dyDescent="0.35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 cm="1">
        <f t="array" ref="AG509">_xlfn.IFS(A509&lt;30,"Below 30",A509&lt;40,"30-39",A509&lt;50,"40-49",TRUE,"50+")</f>
        <v>Below 30</v>
      </c>
    </row>
    <row r="510" spans="1:33" x14ac:dyDescent="0.35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 cm="1">
        <f t="array" ref="AG510">_xlfn.IFS(A510&lt;30,"Below 30",A510&lt;40,"30-39",A510&lt;50,"40-49",TRUE,"50+")</f>
        <v>30-39</v>
      </c>
    </row>
    <row r="511" spans="1:33" x14ac:dyDescent="0.35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 cm="1">
        <f t="array" ref="AG511">_xlfn.IFS(A511&lt;30,"Below 30",A511&lt;40,"30-39",A511&lt;50,"40-49",TRUE,"50+")</f>
        <v>30-39</v>
      </c>
    </row>
    <row r="512" spans="1:33" x14ac:dyDescent="0.35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 cm="1">
        <f t="array" ref="AG512">_xlfn.IFS(A512&lt;30,"Below 30",A512&lt;40,"30-39",A512&lt;50,"40-49",TRUE,"50+")</f>
        <v>50+</v>
      </c>
    </row>
    <row r="513" spans="1:33" x14ac:dyDescent="0.35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 cm="1">
        <f t="array" ref="AG513">_xlfn.IFS(A513&lt;30,"Below 30",A513&lt;40,"30-39",A513&lt;50,"40-49",TRUE,"50+")</f>
        <v>30-39</v>
      </c>
    </row>
    <row r="514" spans="1:33" x14ac:dyDescent="0.35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 cm="1">
        <f t="array" ref="AG514">_xlfn.IFS(A514&lt;30,"Below 30",A514&lt;40,"30-39",A514&lt;50,"40-49",TRUE,"50+")</f>
        <v>Below 30</v>
      </c>
    </row>
    <row r="515" spans="1:33" x14ac:dyDescent="0.35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 cm="1">
        <f t="array" ref="AG515">_xlfn.IFS(A515&lt;30,"Below 30",A515&lt;40,"30-39",A515&lt;50,"40-49",TRUE,"50+")</f>
        <v>Below 30</v>
      </c>
    </row>
    <row r="516" spans="1:33" x14ac:dyDescent="0.35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 cm="1">
        <f t="array" ref="AG516">_xlfn.IFS(A516&lt;30,"Below 30",A516&lt;40,"30-39",A516&lt;50,"40-49",TRUE,"50+")</f>
        <v>30-39</v>
      </c>
    </row>
    <row r="517" spans="1:33" x14ac:dyDescent="0.35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 cm="1">
        <f t="array" ref="AG517">_xlfn.IFS(A517&lt;30,"Below 30",A517&lt;40,"30-39",A517&lt;50,"40-49",TRUE,"50+")</f>
        <v>30-39</v>
      </c>
    </row>
    <row r="518" spans="1:33" x14ac:dyDescent="0.35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 cm="1">
        <f t="array" ref="AG518">_xlfn.IFS(A518&lt;30,"Below 30",A518&lt;40,"30-39",A518&lt;50,"40-49",TRUE,"50+")</f>
        <v>Below 30</v>
      </c>
    </row>
    <row r="519" spans="1:33" x14ac:dyDescent="0.35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 cm="1">
        <f t="array" ref="AG519">_xlfn.IFS(A519&lt;30,"Below 30",A519&lt;40,"30-39",A519&lt;50,"40-49",TRUE,"50+")</f>
        <v>Below 30</v>
      </c>
    </row>
    <row r="520" spans="1:33" x14ac:dyDescent="0.35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 cm="1">
        <f t="array" ref="AG520">_xlfn.IFS(A520&lt;30,"Below 30",A520&lt;40,"30-39",A520&lt;50,"40-49",TRUE,"50+")</f>
        <v>30-39</v>
      </c>
    </row>
    <row r="521" spans="1:33" x14ac:dyDescent="0.35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 cm="1">
        <f t="array" ref="AG521">_xlfn.IFS(A521&lt;30,"Below 30",A521&lt;40,"30-39",A521&lt;50,"40-49",TRUE,"50+")</f>
        <v>Below 30</v>
      </c>
    </row>
    <row r="522" spans="1:33" x14ac:dyDescent="0.35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 cm="1">
        <f t="array" ref="AG522">_xlfn.IFS(A522&lt;30,"Below 30",A522&lt;40,"30-39",A522&lt;50,"40-49",TRUE,"50+")</f>
        <v>40-49</v>
      </c>
    </row>
    <row r="523" spans="1:33" x14ac:dyDescent="0.35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 cm="1">
        <f t="array" ref="AG523">_xlfn.IFS(A523&lt;30,"Below 30",A523&lt;40,"30-39",A523&lt;50,"40-49",TRUE,"50+")</f>
        <v>Below 30</v>
      </c>
    </row>
    <row r="524" spans="1:33" x14ac:dyDescent="0.35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 cm="1">
        <f t="array" ref="AG524">_xlfn.IFS(A524&lt;30,"Below 30",A524&lt;40,"30-39",A524&lt;50,"40-49",TRUE,"50+")</f>
        <v>30-39</v>
      </c>
    </row>
    <row r="525" spans="1:33" x14ac:dyDescent="0.35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 cm="1">
        <f t="array" ref="AG525">_xlfn.IFS(A525&lt;30,"Below 30",A525&lt;40,"30-39",A525&lt;50,"40-49",TRUE,"50+")</f>
        <v>50+</v>
      </c>
    </row>
    <row r="526" spans="1:33" x14ac:dyDescent="0.35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 cm="1">
        <f t="array" ref="AG526">_xlfn.IFS(A526&lt;30,"Below 30",A526&lt;40,"30-39",A526&lt;50,"40-49",TRUE,"50+")</f>
        <v>30-39</v>
      </c>
    </row>
    <row r="527" spans="1:33" x14ac:dyDescent="0.35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 cm="1">
        <f t="array" ref="AG527">_xlfn.IFS(A527&lt;30,"Below 30",A527&lt;40,"30-39",A527&lt;50,"40-49",TRUE,"50+")</f>
        <v>Below 30</v>
      </c>
    </row>
    <row r="528" spans="1:33" x14ac:dyDescent="0.35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 cm="1">
        <f t="array" ref="AG528">_xlfn.IFS(A528&lt;30,"Below 30",A528&lt;40,"30-39",A528&lt;50,"40-49",TRUE,"50+")</f>
        <v>30-39</v>
      </c>
    </row>
    <row r="529" spans="1:33" x14ac:dyDescent="0.35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 cm="1">
        <f t="array" ref="AG529">_xlfn.IFS(A529&lt;30,"Below 30",A529&lt;40,"30-39",A529&lt;50,"40-49",TRUE,"50+")</f>
        <v>30-39</v>
      </c>
    </row>
    <row r="530" spans="1:33" x14ac:dyDescent="0.35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 cm="1">
        <f t="array" ref="AG530">_xlfn.IFS(A530&lt;30,"Below 30",A530&lt;40,"30-39",A530&lt;50,"40-49",TRUE,"50+")</f>
        <v>50+</v>
      </c>
    </row>
    <row r="531" spans="1:33" x14ac:dyDescent="0.35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 cm="1">
        <f t="array" ref="AG531">_xlfn.IFS(A531&lt;30,"Below 30",A531&lt;40,"30-39",A531&lt;50,"40-49",TRUE,"50+")</f>
        <v>30-39</v>
      </c>
    </row>
    <row r="532" spans="1:33" x14ac:dyDescent="0.35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 cm="1">
        <f t="array" ref="AG532">_xlfn.IFS(A532&lt;30,"Below 30",A532&lt;40,"30-39",A532&lt;50,"40-49",TRUE,"50+")</f>
        <v>Below 30</v>
      </c>
    </row>
    <row r="533" spans="1:33" x14ac:dyDescent="0.35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 cm="1">
        <f t="array" ref="AG533">_xlfn.IFS(A533&lt;30,"Below 30",A533&lt;40,"30-39",A533&lt;50,"40-49",TRUE,"50+")</f>
        <v>30-39</v>
      </c>
    </row>
    <row r="534" spans="1:33" x14ac:dyDescent="0.35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 cm="1">
        <f t="array" ref="AG534">_xlfn.IFS(A534&lt;30,"Below 30",A534&lt;40,"30-39",A534&lt;50,"40-49",TRUE,"50+")</f>
        <v>40-49</v>
      </c>
    </row>
    <row r="535" spans="1:33" x14ac:dyDescent="0.35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 cm="1">
        <f t="array" ref="AG535">_xlfn.IFS(A535&lt;30,"Below 30",A535&lt;40,"30-39",A535&lt;50,"40-49",TRUE,"50+")</f>
        <v>40-49</v>
      </c>
    </row>
    <row r="536" spans="1:33" x14ac:dyDescent="0.35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 cm="1">
        <f t="array" ref="AG536">_xlfn.IFS(A536&lt;30,"Below 30",A536&lt;40,"30-39",A536&lt;50,"40-49",TRUE,"50+")</f>
        <v>50+</v>
      </c>
    </row>
    <row r="537" spans="1:33" x14ac:dyDescent="0.35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 cm="1">
        <f t="array" ref="AG537">_xlfn.IFS(A537&lt;30,"Below 30",A537&lt;40,"30-39",A537&lt;50,"40-49",TRUE,"50+")</f>
        <v>40-49</v>
      </c>
    </row>
    <row r="538" spans="1:33" x14ac:dyDescent="0.35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 cm="1">
        <f t="array" ref="AG538">_xlfn.IFS(A538&lt;30,"Below 30",A538&lt;40,"30-39",A538&lt;50,"40-49",TRUE,"50+")</f>
        <v>50+</v>
      </c>
    </row>
    <row r="539" spans="1:33" x14ac:dyDescent="0.35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 cm="1">
        <f t="array" ref="AG539">_xlfn.IFS(A539&lt;30,"Below 30",A539&lt;40,"30-39",A539&lt;50,"40-49",TRUE,"50+")</f>
        <v>Below 30</v>
      </c>
    </row>
    <row r="540" spans="1:33" x14ac:dyDescent="0.35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 cm="1">
        <f t="array" ref="AG540">_xlfn.IFS(A540&lt;30,"Below 30",A540&lt;40,"30-39",A540&lt;50,"40-49",TRUE,"50+")</f>
        <v>40-49</v>
      </c>
    </row>
    <row r="541" spans="1:33" x14ac:dyDescent="0.35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 cm="1">
        <f t="array" ref="AG541">_xlfn.IFS(A541&lt;30,"Below 30",A541&lt;40,"30-39",A541&lt;50,"40-49",TRUE,"50+")</f>
        <v>50+</v>
      </c>
    </row>
    <row r="542" spans="1:33" x14ac:dyDescent="0.35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 cm="1">
        <f t="array" ref="AG542">_xlfn.IFS(A542&lt;30,"Below 30",A542&lt;40,"30-39",A542&lt;50,"40-49",TRUE,"50+")</f>
        <v>Below 30</v>
      </c>
    </row>
    <row r="543" spans="1:33" x14ac:dyDescent="0.35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 cm="1">
        <f t="array" ref="AG543">_xlfn.IFS(A543&lt;30,"Below 30",A543&lt;40,"30-39",A543&lt;50,"40-49",TRUE,"50+")</f>
        <v>30-39</v>
      </c>
    </row>
    <row r="544" spans="1:33" x14ac:dyDescent="0.35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 cm="1">
        <f t="array" ref="AG544">_xlfn.IFS(A544&lt;30,"Below 30",A544&lt;40,"30-39",A544&lt;50,"40-49",TRUE,"50+")</f>
        <v>30-39</v>
      </c>
    </row>
    <row r="545" spans="1:33" x14ac:dyDescent="0.35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 cm="1">
        <f t="array" ref="AG545">_xlfn.IFS(A545&lt;30,"Below 30",A545&lt;40,"30-39",A545&lt;50,"40-49",TRUE,"50+")</f>
        <v>40-49</v>
      </c>
    </row>
    <row r="546" spans="1:33" x14ac:dyDescent="0.35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 cm="1">
        <f t="array" ref="AG546">_xlfn.IFS(A546&lt;30,"Below 30",A546&lt;40,"30-39",A546&lt;50,"40-49",TRUE,"50+")</f>
        <v>40-49</v>
      </c>
    </row>
    <row r="547" spans="1:33" x14ac:dyDescent="0.35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 cm="1">
        <f t="array" ref="AG547">_xlfn.IFS(A547&lt;30,"Below 30",A547&lt;40,"30-39",A547&lt;50,"40-49",TRUE,"50+")</f>
        <v>30-39</v>
      </c>
    </row>
    <row r="548" spans="1:33" x14ac:dyDescent="0.35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 cm="1">
        <f t="array" ref="AG548">_xlfn.IFS(A548&lt;30,"Below 30",A548&lt;40,"30-39",A548&lt;50,"40-49",TRUE,"50+")</f>
        <v>Below 30</v>
      </c>
    </row>
    <row r="549" spans="1:33" x14ac:dyDescent="0.35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 cm="1">
        <f t="array" ref="AG549">_xlfn.IFS(A549&lt;30,"Below 30",A549&lt;40,"30-39",A549&lt;50,"40-49",TRUE,"50+")</f>
        <v>40-49</v>
      </c>
    </row>
    <row r="550" spans="1:33" x14ac:dyDescent="0.35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 cm="1">
        <f t="array" ref="AG550">_xlfn.IFS(A550&lt;30,"Below 30",A550&lt;40,"30-39",A550&lt;50,"40-49",TRUE,"50+")</f>
        <v>40-49</v>
      </c>
    </row>
    <row r="551" spans="1:33" x14ac:dyDescent="0.35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 cm="1">
        <f t="array" ref="AG551">_xlfn.IFS(A551&lt;30,"Below 30",A551&lt;40,"30-39",A551&lt;50,"40-49",TRUE,"50+")</f>
        <v>30-39</v>
      </c>
    </row>
    <row r="552" spans="1:33" x14ac:dyDescent="0.35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 cm="1">
        <f t="array" ref="AG552">_xlfn.IFS(A552&lt;30,"Below 30",A552&lt;40,"30-39",A552&lt;50,"40-49",TRUE,"50+")</f>
        <v>Below 30</v>
      </c>
    </row>
    <row r="553" spans="1:33" x14ac:dyDescent="0.35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 cm="1">
        <f t="array" ref="AG553">_xlfn.IFS(A553&lt;30,"Below 30",A553&lt;40,"30-39",A553&lt;50,"40-49",TRUE,"50+")</f>
        <v>30-39</v>
      </c>
    </row>
    <row r="554" spans="1:33" x14ac:dyDescent="0.35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 cm="1">
        <f t="array" ref="AG554">_xlfn.IFS(A554&lt;30,"Below 30",A554&lt;40,"30-39",A554&lt;50,"40-49",TRUE,"50+")</f>
        <v>50+</v>
      </c>
    </row>
    <row r="555" spans="1:33" x14ac:dyDescent="0.35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 cm="1">
        <f t="array" ref="AG555">_xlfn.IFS(A555&lt;30,"Below 30",A555&lt;40,"30-39",A555&lt;50,"40-49",TRUE,"50+")</f>
        <v>40-49</v>
      </c>
    </row>
    <row r="556" spans="1:33" x14ac:dyDescent="0.35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 cm="1">
        <f t="array" ref="AG556">_xlfn.IFS(A556&lt;30,"Below 30",A556&lt;40,"30-39",A556&lt;50,"40-49",TRUE,"50+")</f>
        <v>Below 30</v>
      </c>
    </row>
    <row r="557" spans="1:33" x14ac:dyDescent="0.35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 cm="1">
        <f t="array" ref="AG557">_xlfn.IFS(A557&lt;30,"Below 30",A557&lt;40,"30-39",A557&lt;50,"40-49",TRUE,"50+")</f>
        <v>Below 30</v>
      </c>
    </row>
    <row r="558" spans="1:33" x14ac:dyDescent="0.35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 cm="1">
        <f t="array" ref="AG558">_xlfn.IFS(A558&lt;30,"Below 30",A558&lt;40,"30-39",A558&lt;50,"40-49",TRUE,"50+")</f>
        <v>50+</v>
      </c>
    </row>
    <row r="559" spans="1:33" x14ac:dyDescent="0.35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 cm="1">
        <f t="array" ref="AG559">_xlfn.IFS(A559&lt;30,"Below 30",A559&lt;40,"30-39",A559&lt;50,"40-49",TRUE,"50+")</f>
        <v>30-39</v>
      </c>
    </row>
    <row r="560" spans="1:33" x14ac:dyDescent="0.35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 cm="1">
        <f t="array" ref="AG560">_xlfn.IFS(A560&lt;30,"Below 30",A560&lt;40,"30-39",A560&lt;50,"40-49",TRUE,"50+")</f>
        <v>30-39</v>
      </c>
    </row>
    <row r="561" spans="1:33" x14ac:dyDescent="0.35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 cm="1">
        <f t="array" ref="AG561">_xlfn.IFS(A561&lt;30,"Below 30",A561&lt;40,"30-39",A561&lt;50,"40-49",TRUE,"50+")</f>
        <v>30-39</v>
      </c>
    </row>
    <row r="562" spans="1:33" x14ac:dyDescent="0.35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 cm="1">
        <f t="array" ref="AG562">_xlfn.IFS(A562&lt;30,"Below 30",A562&lt;40,"30-39",A562&lt;50,"40-49",TRUE,"50+")</f>
        <v>30-39</v>
      </c>
    </row>
    <row r="563" spans="1:33" x14ac:dyDescent="0.35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 cm="1">
        <f t="array" ref="AG563">_xlfn.IFS(A563&lt;30,"Below 30",A563&lt;40,"30-39",A563&lt;50,"40-49",TRUE,"50+")</f>
        <v>50+</v>
      </c>
    </row>
    <row r="564" spans="1:33" x14ac:dyDescent="0.35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 cm="1">
        <f t="array" ref="AG564">_xlfn.IFS(A564&lt;30,"Below 30",A564&lt;40,"30-39",A564&lt;50,"40-49",TRUE,"50+")</f>
        <v>30-39</v>
      </c>
    </row>
    <row r="565" spans="1:33" x14ac:dyDescent="0.35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 cm="1">
        <f t="array" ref="AG565">_xlfn.IFS(A565&lt;30,"Below 30",A565&lt;40,"30-39",A565&lt;50,"40-49",TRUE,"50+")</f>
        <v>Below 30</v>
      </c>
    </row>
    <row r="566" spans="1:33" x14ac:dyDescent="0.35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 cm="1">
        <f t="array" ref="AG566">_xlfn.IFS(A566&lt;30,"Below 30",A566&lt;40,"30-39",A566&lt;50,"40-49",TRUE,"50+")</f>
        <v>40-49</v>
      </c>
    </row>
    <row r="567" spans="1:33" x14ac:dyDescent="0.35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 cm="1">
        <f t="array" ref="AG567">_xlfn.IFS(A567&lt;30,"Below 30",A567&lt;40,"30-39",A567&lt;50,"40-49",TRUE,"50+")</f>
        <v>Below 30</v>
      </c>
    </row>
    <row r="568" spans="1:33" x14ac:dyDescent="0.35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 cm="1">
        <f t="array" ref="AG568">_xlfn.IFS(A568&lt;30,"Below 30",A568&lt;40,"30-39",A568&lt;50,"40-49",TRUE,"50+")</f>
        <v>40-49</v>
      </c>
    </row>
    <row r="569" spans="1:33" x14ac:dyDescent="0.35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 cm="1">
        <f t="array" ref="AG569">_xlfn.IFS(A569&lt;30,"Below 30",A569&lt;40,"30-39",A569&lt;50,"40-49",TRUE,"50+")</f>
        <v>30-39</v>
      </c>
    </row>
    <row r="570" spans="1:33" x14ac:dyDescent="0.35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 cm="1">
        <f t="array" ref="AG570">_xlfn.IFS(A570&lt;30,"Below 30",A570&lt;40,"30-39",A570&lt;50,"40-49",TRUE,"50+")</f>
        <v>50+</v>
      </c>
    </row>
    <row r="571" spans="1:33" x14ac:dyDescent="0.35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 cm="1">
        <f t="array" ref="AG571">_xlfn.IFS(A571&lt;30,"Below 30",A571&lt;40,"30-39",A571&lt;50,"40-49",TRUE,"50+")</f>
        <v>30-39</v>
      </c>
    </row>
    <row r="572" spans="1:33" x14ac:dyDescent="0.35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 cm="1">
        <f t="array" ref="AG572">_xlfn.IFS(A572&lt;30,"Below 30",A572&lt;40,"30-39",A572&lt;50,"40-49",TRUE,"50+")</f>
        <v>50+</v>
      </c>
    </row>
    <row r="573" spans="1:33" x14ac:dyDescent="0.35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 cm="1">
        <f t="array" ref="AG573">_xlfn.IFS(A573&lt;30,"Below 30",A573&lt;40,"30-39",A573&lt;50,"40-49",TRUE,"50+")</f>
        <v>Below 30</v>
      </c>
    </row>
    <row r="574" spans="1:33" x14ac:dyDescent="0.35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 cm="1">
        <f t="array" ref="AG574">_xlfn.IFS(A574&lt;30,"Below 30",A574&lt;40,"30-39",A574&lt;50,"40-49",TRUE,"50+")</f>
        <v>Below 30</v>
      </c>
    </row>
    <row r="575" spans="1:33" x14ac:dyDescent="0.35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 cm="1">
        <f t="array" ref="AG575">_xlfn.IFS(A575&lt;30,"Below 30",A575&lt;40,"30-39",A575&lt;50,"40-49",TRUE,"50+")</f>
        <v>Below 30</v>
      </c>
    </row>
    <row r="576" spans="1:33" x14ac:dyDescent="0.35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 cm="1">
        <f t="array" ref="AG576">_xlfn.IFS(A576&lt;30,"Below 30",A576&lt;40,"30-39",A576&lt;50,"40-49",TRUE,"50+")</f>
        <v>30-39</v>
      </c>
    </row>
    <row r="577" spans="1:33" x14ac:dyDescent="0.35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 cm="1">
        <f t="array" ref="AG577">_xlfn.IFS(A577&lt;30,"Below 30",A577&lt;40,"30-39",A577&lt;50,"40-49",TRUE,"50+")</f>
        <v>50+</v>
      </c>
    </row>
    <row r="578" spans="1:33" x14ac:dyDescent="0.35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 cm="1">
        <f t="array" ref="AG578">_xlfn.IFS(A578&lt;30,"Below 30",A578&lt;40,"30-39",A578&lt;50,"40-49",TRUE,"50+")</f>
        <v>Below 30</v>
      </c>
    </row>
    <row r="579" spans="1:33" x14ac:dyDescent="0.35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 cm="1">
        <f t="array" ref="AG579">_xlfn.IFS(A579&lt;30,"Below 30",A579&lt;40,"30-39",A579&lt;50,"40-49",TRUE,"50+")</f>
        <v>30-39</v>
      </c>
    </row>
    <row r="580" spans="1:33" x14ac:dyDescent="0.35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 cm="1">
        <f t="array" ref="AG580">_xlfn.IFS(A580&lt;30,"Below 30",A580&lt;40,"30-39",A580&lt;50,"40-49",TRUE,"50+")</f>
        <v>30-39</v>
      </c>
    </row>
    <row r="581" spans="1:33" x14ac:dyDescent="0.35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 cm="1">
        <f t="array" ref="AG581">_xlfn.IFS(A581&lt;30,"Below 30",A581&lt;40,"30-39",A581&lt;50,"40-49",TRUE,"50+")</f>
        <v>30-39</v>
      </c>
    </row>
    <row r="582" spans="1:33" x14ac:dyDescent="0.35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 cm="1">
        <f t="array" ref="AG582">_xlfn.IFS(A582&lt;30,"Below 30",A582&lt;40,"30-39",A582&lt;50,"40-49",TRUE,"50+")</f>
        <v>30-39</v>
      </c>
    </row>
    <row r="583" spans="1:33" x14ac:dyDescent="0.35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 cm="1">
        <f t="array" ref="AG583">_xlfn.IFS(A583&lt;30,"Below 30",A583&lt;40,"30-39",A583&lt;50,"40-49",TRUE,"50+")</f>
        <v>30-39</v>
      </c>
    </row>
    <row r="584" spans="1:33" x14ac:dyDescent="0.35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 cm="1">
        <f t="array" ref="AG584">_xlfn.IFS(A584&lt;30,"Below 30",A584&lt;40,"30-39",A584&lt;50,"40-49",TRUE,"50+")</f>
        <v>40-49</v>
      </c>
    </row>
    <row r="585" spans="1:33" x14ac:dyDescent="0.35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 cm="1">
        <f t="array" ref="AG585">_xlfn.IFS(A585&lt;30,"Below 30",A585&lt;40,"30-39",A585&lt;50,"40-49",TRUE,"50+")</f>
        <v>30-39</v>
      </c>
    </row>
    <row r="586" spans="1:33" x14ac:dyDescent="0.35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 cm="1">
        <f t="array" ref="AG586">_xlfn.IFS(A586&lt;30,"Below 30",A586&lt;40,"30-39",A586&lt;50,"40-49",TRUE,"50+")</f>
        <v>40-49</v>
      </c>
    </row>
    <row r="587" spans="1:33" x14ac:dyDescent="0.35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 cm="1">
        <f t="array" ref="AG587">_xlfn.IFS(A587&lt;30,"Below 30",A587&lt;40,"30-39",A587&lt;50,"40-49",TRUE,"50+")</f>
        <v>Below 30</v>
      </c>
    </row>
    <row r="588" spans="1:33" x14ac:dyDescent="0.35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 cm="1">
        <f t="array" ref="AG588">_xlfn.IFS(A588&lt;30,"Below 30",A588&lt;40,"30-39",A588&lt;50,"40-49",TRUE,"50+")</f>
        <v>Below 30</v>
      </c>
    </row>
    <row r="589" spans="1:33" x14ac:dyDescent="0.35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 cm="1">
        <f t="array" ref="AG589">_xlfn.IFS(A589&lt;30,"Below 30",A589&lt;40,"30-39",A589&lt;50,"40-49",TRUE,"50+")</f>
        <v>50+</v>
      </c>
    </row>
    <row r="590" spans="1:33" x14ac:dyDescent="0.35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 cm="1">
        <f t="array" ref="AG590">_xlfn.IFS(A590&lt;30,"Below 30",A590&lt;40,"30-39",A590&lt;50,"40-49",TRUE,"50+")</f>
        <v>50+</v>
      </c>
    </row>
    <row r="591" spans="1:33" x14ac:dyDescent="0.35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 cm="1">
        <f t="array" ref="AG591">_xlfn.IFS(A591&lt;30,"Below 30",A591&lt;40,"30-39",A591&lt;50,"40-49",TRUE,"50+")</f>
        <v>Below 30</v>
      </c>
    </row>
    <row r="592" spans="1:33" x14ac:dyDescent="0.35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 cm="1">
        <f t="array" ref="AG592">_xlfn.IFS(A592&lt;30,"Below 30",A592&lt;40,"30-39",A592&lt;50,"40-49",TRUE,"50+")</f>
        <v>30-39</v>
      </c>
    </row>
    <row r="593" spans="1:33" x14ac:dyDescent="0.35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 cm="1">
        <f t="array" ref="AG593">_xlfn.IFS(A593&lt;30,"Below 30",A593&lt;40,"30-39",A593&lt;50,"40-49",TRUE,"50+")</f>
        <v>30-39</v>
      </c>
    </row>
    <row r="594" spans="1:33" x14ac:dyDescent="0.35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 cm="1">
        <f t="array" ref="AG594">_xlfn.IFS(A594&lt;30,"Below 30",A594&lt;40,"30-39",A594&lt;50,"40-49",TRUE,"50+")</f>
        <v>40-49</v>
      </c>
    </row>
    <row r="595" spans="1:33" x14ac:dyDescent="0.35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 cm="1">
        <f t="array" ref="AG595">_xlfn.IFS(A595&lt;30,"Below 30",A595&lt;40,"30-39",A595&lt;50,"40-49",TRUE,"50+")</f>
        <v>30-39</v>
      </c>
    </row>
    <row r="596" spans="1:33" x14ac:dyDescent="0.35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 cm="1">
        <f t="array" ref="AG596">_xlfn.IFS(A596&lt;30,"Below 30",A596&lt;40,"30-39",A596&lt;50,"40-49",TRUE,"50+")</f>
        <v>Below 30</v>
      </c>
    </row>
    <row r="597" spans="1:33" x14ac:dyDescent="0.35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 cm="1">
        <f t="array" ref="AG597">_xlfn.IFS(A597&lt;30,"Below 30",A597&lt;40,"30-39",A597&lt;50,"40-49",TRUE,"50+")</f>
        <v>50+</v>
      </c>
    </row>
    <row r="598" spans="1:33" x14ac:dyDescent="0.35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 cm="1">
        <f t="array" ref="AG598">_xlfn.IFS(A598&lt;30,"Below 30",A598&lt;40,"30-39",A598&lt;50,"40-49",TRUE,"50+")</f>
        <v>30-39</v>
      </c>
    </row>
    <row r="599" spans="1:33" x14ac:dyDescent="0.35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 cm="1">
        <f t="array" ref="AG599">_xlfn.IFS(A599&lt;30,"Below 30",A599&lt;40,"30-39",A599&lt;50,"40-49",TRUE,"50+")</f>
        <v>40-49</v>
      </c>
    </row>
    <row r="600" spans="1:33" x14ac:dyDescent="0.35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 cm="1">
        <f t="array" ref="AG600">_xlfn.IFS(A600&lt;30,"Below 30",A600&lt;40,"30-39",A600&lt;50,"40-49",TRUE,"50+")</f>
        <v>Below 30</v>
      </c>
    </row>
    <row r="601" spans="1:33" x14ac:dyDescent="0.35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 cm="1">
        <f t="array" ref="AG601">_xlfn.IFS(A601&lt;30,"Below 30",A601&lt;40,"30-39",A601&lt;50,"40-49",TRUE,"50+")</f>
        <v>30-39</v>
      </c>
    </row>
    <row r="602" spans="1:33" x14ac:dyDescent="0.35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 cm="1">
        <f t="array" ref="AG602">_xlfn.IFS(A602&lt;30,"Below 30",A602&lt;40,"30-39",A602&lt;50,"40-49",TRUE,"50+")</f>
        <v>30-39</v>
      </c>
    </row>
    <row r="603" spans="1:33" x14ac:dyDescent="0.35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 cm="1">
        <f t="array" ref="AG603">_xlfn.IFS(A603&lt;30,"Below 30",A603&lt;40,"30-39",A603&lt;50,"40-49",TRUE,"50+")</f>
        <v>40-49</v>
      </c>
    </row>
    <row r="604" spans="1:33" x14ac:dyDescent="0.35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 cm="1">
        <f t="array" ref="AG604">_xlfn.IFS(A604&lt;30,"Below 30",A604&lt;40,"30-39",A604&lt;50,"40-49",TRUE,"50+")</f>
        <v>30-39</v>
      </c>
    </row>
    <row r="605" spans="1:33" x14ac:dyDescent="0.35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 cm="1">
        <f t="array" ref="AG605">_xlfn.IFS(A605&lt;30,"Below 30",A605&lt;40,"30-39",A605&lt;50,"40-49",TRUE,"50+")</f>
        <v>40-49</v>
      </c>
    </row>
    <row r="606" spans="1:33" x14ac:dyDescent="0.35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 cm="1">
        <f t="array" ref="AG606">_xlfn.IFS(A606&lt;30,"Below 30",A606&lt;40,"30-39",A606&lt;50,"40-49",TRUE,"50+")</f>
        <v>40-49</v>
      </c>
    </row>
    <row r="607" spans="1:33" x14ac:dyDescent="0.35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 cm="1">
        <f t="array" ref="AG607">_xlfn.IFS(A607&lt;30,"Below 30",A607&lt;40,"30-39",A607&lt;50,"40-49",TRUE,"50+")</f>
        <v>30-39</v>
      </c>
    </row>
    <row r="608" spans="1:33" x14ac:dyDescent="0.35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 cm="1">
        <f t="array" ref="AG608">_xlfn.IFS(A608&lt;30,"Below 30",A608&lt;40,"30-39",A608&lt;50,"40-49",TRUE,"50+")</f>
        <v>30-39</v>
      </c>
    </row>
    <row r="609" spans="1:33" x14ac:dyDescent="0.35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 cm="1">
        <f t="array" ref="AG609">_xlfn.IFS(A609&lt;30,"Below 30",A609&lt;40,"30-39",A609&lt;50,"40-49",TRUE,"50+")</f>
        <v>40-49</v>
      </c>
    </row>
    <row r="610" spans="1:33" x14ac:dyDescent="0.35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 cm="1">
        <f t="array" ref="AG610">_xlfn.IFS(A610&lt;30,"Below 30",A610&lt;40,"30-39",A610&lt;50,"40-49",TRUE,"50+")</f>
        <v>50+</v>
      </c>
    </row>
    <row r="611" spans="1:33" x14ac:dyDescent="0.35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 cm="1">
        <f t="array" ref="AG611">_xlfn.IFS(A611&lt;30,"Below 30",A611&lt;40,"30-39",A611&lt;50,"40-49",TRUE,"50+")</f>
        <v>40-49</v>
      </c>
    </row>
    <row r="612" spans="1:33" x14ac:dyDescent="0.35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 cm="1">
        <f t="array" ref="AG612">_xlfn.IFS(A612&lt;30,"Below 30",A612&lt;40,"30-39",A612&lt;50,"40-49",TRUE,"50+")</f>
        <v>Below 30</v>
      </c>
    </row>
    <row r="613" spans="1:33" x14ac:dyDescent="0.35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 cm="1">
        <f t="array" ref="AG613">_xlfn.IFS(A613&lt;30,"Below 30",A613&lt;40,"30-39",A613&lt;50,"40-49",TRUE,"50+")</f>
        <v>30-39</v>
      </c>
    </row>
    <row r="614" spans="1:33" x14ac:dyDescent="0.35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 cm="1">
        <f t="array" ref="AG614">_xlfn.IFS(A614&lt;30,"Below 30",A614&lt;40,"30-39",A614&lt;50,"40-49",TRUE,"50+")</f>
        <v>Below 30</v>
      </c>
    </row>
    <row r="615" spans="1:33" x14ac:dyDescent="0.35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 cm="1">
        <f t="array" ref="AG615">_xlfn.IFS(A615&lt;30,"Below 30",A615&lt;40,"30-39",A615&lt;50,"40-49",TRUE,"50+")</f>
        <v>30-39</v>
      </c>
    </row>
    <row r="616" spans="1:33" x14ac:dyDescent="0.35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 cm="1">
        <f t="array" ref="AG616">_xlfn.IFS(A616&lt;30,"Below 30",A616&lt;40,"30-39",A616&lt;50,"40-49",TRUE,"50+")</f>
        <v>Below 30</v>
      </c>
    </row>
    <row r="617" spans="1:33" x14ac:dyDescent="0.35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 cm="1">
        <f t="array" ref="AG617">_xlfn.IFS(A617&lt;30,"Below 30",A617&lt;40,"30-39",A617&lt;50,"40-49",TRUE,"50+")</f>
        <v>Below 30</v>
      </c>
    </row>
    <row r="618" spans="1:33" x14ac:dyDescent="0.35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 cm="1">
        <f t="array" ref="AG618">_xlfn.IFS(A618&lt;30,"Below 30",A618&lt;40,"30-39",A618&lt;50,"40-49",TRUE,"50+")</f>
        <v>50+</v>
      </c>
    </row>
    <row r="619" spans="1:33" x14ac:dyDescent="0.35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 cm="1">
        <f t="array" ref="AG619">_xlfn.IFS(A619&lt;30,"Below 30",A619&lt;40,"30-39",A619&lt;50,"40-49",TRUE,"50+")</f>
        <v>40-49</v>
      </c>
    </row>
    <row r="620" spans="1:33" x14ac:dyDescent="0.35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 cm="1">
        <f t="array" ref="AG620">_xlfn.IFS(A620&lt;30,"Below 30",A620&lt;40,"30-39",A620&lt;50,"40-49",TRUE,"50+")</f>
        <v>Below 30</v>
      </c>
    </row>
    <row r="621" spans="1:33" x14ac:dyDescent="0.35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 cm="1">
        <f t="array" ref="AG621">_xlfn.IFS(A621&lt;30,"Below 30",A621&lt;40,"30-39",A621&lt;50,"40-49",TRUE,"50+")</f>
        <v>30-39</v>
      </c>
    </row>
    <row r="622" spans="1:33" x14ac:dyDescent="0.35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 cm="1">
        <f t="array" ref="AG622">_xlfn.IFS(A622&lt;30,"Below 30",A622&lt;40,"30-39",A622&lt;50,"40-49",TRUE,"50+")</f>
        <v>30-39</v>
      </c>
    </row>
    <row r="623" spans="1:33" x14ac:dyDescent="0.35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 cm="1">
        <f t="array" ref="AG623">_xlfn.IFS(A623&lt;30,"Below 30",A623&lt;40,"30-39",A623&lt;50,"40-49",TRUE,"50+")</f>
        <v>30-39</v>
      </c>
    </row>
    <row r="624" spans="1:33" x14ac:dyDescent="0.35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 cm="1">
        <f t="array" ref="AG624">_xlfn.IFS(A624&lt;30,"Below 30",A624&lt;40,"30-39",A624&lt;50,"40-49",TRUE,"50+")</f>
        <v>30-39</v>
      </c>
    </row>
    <row r="625" spans="1:33" x14ac:dyDescent="0.35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 cm="1">
        <f t="array" ref="AG625">_xlfn.IFS(A625&lt;30,"Below 30",A625&lt;40,"30-39",A625&lt;50,"40-49",TRUE,"50+")</f>
        <v>30-39</v>
      </c>
    </row>
    <row r="626" spans="1:33" x14ac:dyDescent="0.35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 cm="1">
        <f t="array" ref="AG626">_xlfn.IFS(A626&lt;30,"Below 30",A626&lt;40,"30-39",A626&lt;50,"40-49",TRUE,"50+")</f>
        <v>50+</v>
      </c>
    </row>
    <row r="627" spans="1:33" x14ac:dyDescent="0.35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 cm="1">
        <f t="array" ref="AG627">_xlfn.IFS(A627&lt;30,"Below 30",A627&lt;40,"30-39",A627&lt;50,"40-49",TRUE,"50+")</f>
        <v>40-49</v>
      </c>
    </row>
    <row r="628" spans="1:33" x14ac:dyDescent="0.35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 cm="1">
        <f t="array" ref="AG628">_xlfn.IFS(A628&lt;30,"Below 30",A628&lt;40,"30-39",A628&lt;50,"40-49",TRUE,"50+")</f>
        <v>30-39</v>
      </c>
    </row>
    <row r="629" spans="1:33" x14ac:dyDescent="0.35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 cm="1">
        <f t="array" ref="AG629">_xlfn.IFS(A629&lt;30,"Below 30",A629&lt;40,"30-39",A629&lt;50,"40-49",TRUE,"50+")</f>
        <v>50+</v>
      </c>
    </row>
    <row r="630" spans="1:33" x14ac:dyDescent="0.35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 cm="1">
        <f t="array" ref="AG630">_xlfn.IFS(A630&lt;30,"Below 30",A630&lt;40,"30-39",A630&lt;50,"40-49",TRUE,"50+")</f>
        <v>30-39</v>
      </c>
    </row>
    <row r="631" spans="1:33" x14ac:dyDescent="0.35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 cm="1">
        <f t="array" ref="AG631">_xlfn.IFS(A631&lt;30,"Below 30",A631&lt;40,"30-39",A631&lt;50,"40-49",TRUE,"50+")</f>
        <v>Below 30</v>
      </c>
    </row>
    <row r="632" spans="1:33" x14ac:dyDescent="0.35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 cm="1">
        <f t="array" ref="AG632">_xlfn.IFS(A632&lt;30,"Below 30",A632&lt;40,"30-39",A632&lt;50,"40-49",TRUE,"50+")</f>
        <v>Below 30</v>
      </c>
    </row>
    <row r="633" spans="1:33" x14ac:dyDescent="0.35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 cm="1">
        <f t="array" ref="AG633">_xlfn.IFS(A633&lt;30,"Below 30",A633&lt;40,"30-39",A633&lt;50,"40-49",TRUE,"50+")</f>
        <v>40-49</v>
      </c>
    </row>
    <row r="634" spans="1:33" x14ac:dyDescent="0.35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 cm="1">
        <f t="array" ref="AG634">_xlfn.IFS(A634&lt;30,"Below 30",A634&lt;40,"30-39",A634&lt;50,"40-49",TRUE,"50+")</f>
        <v>40-49</v>
      </c>
    </row>
    <row r="635" spans="1:33" x14ac:dyDescent="0.35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 cm="1">
        <f t="array" ref="AG635">_xlfn.IFS(A635&lt;30,"Below 30",A635&lt;40,"30-39",A635&lt;50,"40-49",TRUE,"50+")</f>
        <v>30-39</v>
      </c>
    </row>
    <row r="636" spans="1:33" x14ac:dyDescent="0.35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 cm="1">
        <f t="array" ref="AG636">_xlfn.IFS(A636&lt;30,"Below 30",A636&lt;40,"30-39",A636&lt;50,"40-49",TRUE,"50+")</f>
        <v>Below 30</v>
      </c>
    </row>
    <row r="637" spans="1:33" x14ac:dyDescent="0.35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 cm="1">
        <f t="array" ref="AG637">_xlfn.IFS(A637&lt;30,"Below 30",A637&lt;40,"30-39",A637&lt;50,"40-49",TRUE,"50+")</f>
        <v>30-39</v>
      </c>
    </row>
    <row r="638" spans="1:33" x14ac:dyDescent="0.35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 cm="1">
        <f t="array" ref="AG638">_xlfn.IFS(A638&lt;30,"Below 30",A638&lt;40,"30-39",A638&lt;50,"40-49",TRUE,"50+")</f>
        <v>30-39</v>
      </c>
    </row>
    <row r="639" spans="1:33" x14ac:dyDescent="0.35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 cm="1">
        <f t="array" ref="AG639">_xlfn.IFS(A639&lt;30,"Below 30",A639&lt;40,"30-39",A639&lt;50,"40-49",TRUE,"50+")</f>
        <v>30-39</v>
      </c>
    </row>
    <row r="640" spans="1:33" x14ac:dyDescent="0.35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 cm="1">
        <f t="array" ref="AG640">_xlfn.IFS(A640&lt;30,"Below 30",A640&lt;40,"30-39",A640&lt;50,"40-49",TRUE,"50+")</f>
        <v>Below 30</v>
      </c>
    </row>
    <row r="641" spans="1:33" x14ac:dyDescent="0.35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 cm="1">
        <f t="array" ref="AG641">_xlfn.IFS(A641&lt;30,"Below 30",A641&lt;40,"30-39",A641&lt;50,"40-49",TRUE,"50+")</f>
        <v>40-49</v>
      </c>
    </row>
    <row r="642" spans="1:33" x14ac:dyDescent="0.35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 cm="1">
        <f t="array" ref="AG642">_xlfn.IFS(A642&lt;30,"Below 30",A642&lt;40,"30-39",A642&lt;50,"40-49",TRUE,"50+")</f>
        <v>Below 30</v>
      </c>
    </row>
    <row r="643" spans="1:33" x14ac:dyDescent="0.35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 cm="1">
        <f t="array" ref="AG643">_xlfn.IFS(A643&lt;30,"Below 30",A643&lt;40,"30-39",A643&lt;50,"40-49",TRUE,"50+")</f>
        <v>30-39</v>
      </c>
    </row>
    <row r="644" spans="1:33" x14ac:dyDescent="0.35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 cm="1">
        <f t="array" ref="AG644">_xlfn.IFS(A644&lt;30,"Below 30",A644&lt;40,"30-39",A644&lt;50,"40-49",TRUE,"50+")</f>
        <v>30-39</v>
      </c>
    </row>
    <row r="645" spans="1:33" x14ac:dyDescent="0.35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 cm="1">
        <f t="array" ref="AG645">_xlfn.IFS(A645&lt;30,"Below 30",A645&lt;40,"30-39",A645&lt;50,"40-49",TRUE,"50+")</f>
        <v>40-49</v>
      </c>
    </row>
    <row r="646" spans="1:33" x14ac:dyDescent="0.35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 cm="1">
        <f t="array" ref="AG646">_xlfn.IFS(A646&lt;30,"Below 30",A646&lt;40,"30-39",A646&lt;50,"40-49",TRUE,"50+")</f>
        <v>30-39</v>
      </c>
    </row>
    <row r="647" spans="1:33" x14ac:dyDescent="0.35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 cm="1">
        <f t="array" ref="AG647">_xlfn.IFS(A647&lt;30,"Below 30",A647&lt;40,"30-39",A647&lt;50,"40-49",TRUE,"50+")</f>
        <v>Below 30</v>
      </c>
    </row>
    <row r="648" spans="1:33" x14ac:dyDescent="0.35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 cm="1">
        <f t="array" ref="AG648">_xlfn.IFS(A648&lt;30,"Below 30",A648&lt;40,"30-39",A648&lt;50,"40-49",TRUE,"50+")</f>
        <v>50+</v>
      </c>
    </row>
    <row r="649" spans="1:33" x14ac:dyDescent="0.35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 cm="1">
        <f t="array" ref="AG649">_xlfn.IFS(A649&lt;30,"Below 30",A649&lt;40,"30-39",A649&lt;50,"40-49",TRUE,"50+")</f>
        <v>30-39</v>
      </c>
    </row>
    <row r="650" spans="1:33" x14ac:dyDescent="0.35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 cm="1">
        <f t="array" ref="AG650">_xlfn.IFS(A650&lt;30,"Below 30",A650&lt;40,"30-39",A650&lt;50,"40-49",TRUE,"50+")</f>
        <v>30-39</v>
      </c>
    </row>
    <row r="651" spans="1:33" x14ac:dyDescent="0.35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 cm="1">
        <f t="array" ref="AG651">_xlfn.IFS(A651&lt;30,"Below 30",A651&lt;40,"30-39",A651&lt;50,"40-49",TRUE,"50+")</f>
        <v>50+</v>
      </c>
    </row>
    <row r="652" spans="1:33" x14ac:dyDescent="0.35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 cm="1">
        <f t="array" ref="AG652">_xlfn.IFS(A652&lt;30,"Below 30",A652&lt;40,"30-39",A652&lt;50,"40-49",TRUE,"50+")</f>
        <v>40-49</v>
      </c>
    </row>
    <row r="653" spans="1:33" x14ac:dyDescent="0.35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 cm="1">
        <f t="array" ref="AG653">_xlfn.IFS(A653&lt;30,"Below 30",A653&lt;40,"30-39",A653&lt;50,"40-49",TRUE,"50+")</f>
        <v>40-49</v>
      </c>
    </row>
    <row r="654" spans="1:33" x14ac:dyDescent="0.35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 cm="1">
        <f t="array" ref="AG654">_xlfn.IFS(A654&lt;30,"Below 30",A654&lt;40,"30-39",A654&lt;50,"40-49",TRUE,"50+")</f>
        <v>30-39</v>
      </c>
    </row>
    <row r="655" spans="1:33" x14ac:dyDescent="0.35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 cm="1">
        <f t="array" ref="AG655">_xlfn.IFS(A655&lt;30,"Below 30",A655&lt;40,"30-39",A655&lt;50,"40-49",TRUE,"50+")</f>
        <v>50+</v>
      </c>
    </row>
    <row r="656" spans="1:33" x14ac:dyDescent="0.35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 cm="1">
        <f t="array" ref="AG656">_xlfn.IFS(A656&lt;30,"Below 30",A656&lt;40,"30-39",A656&lt;50,"40-49",TRUE,"50+")</f>
        <v>30-39</v>
      </c>
    </row>
    <row r="657" spans="1:33" x14ac:dyDescent="0.35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 cm="1">
        <f t="array" ref="AG657">_xlfn.IFS(A657&lt;30,"Below 30",A657&lt;40,"30-39",A657&lt;50,"40-49",TRUE,"50+")</f>
        <v>30-39</v>
      </c>
    </row>
    <row r="658" spans="1:33" x14ac:dyDescent="0.35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 cm="1">
        <f t="array" ref="AG658">_xlfn.IFS(A658&lt;30,"Below 30",A658&lt;40,"30-39",A658&lt;50,"40-49",TRUE,"50+")</f>
        <v>30-39</v>
      </c>
    </row>
    <row r="659" spans="1:33" x14ac:dyDescent="0.35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 cm="1">
        <f t="array" ref="AG659">_xlfn.IFS(A659&lt;30,"Below 30",A659&lt;40,"30-39",A659&lt;50,"40-49",TRUE,"50+")</f>
        <v>Below 30</v>
      </c>
    </row>
    <row r="660" spans="1:33" x14ac:dyDescent="0.35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 cm="1">
        <f t="array" ref="AG660">_xlfn.IFS(A660&lt;30,"Below 30",A660&lt;40,"30-39",A660&lt;50,"40-49",TRUE,"50+")</f>
        <v>40-49</v>
      </c>
    </row>
    <row r="661" spans="1:33" x14ac:dyDescent="0.35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 cm="1">
        <f t="array" ref="AG661">_xlfn.IFS(A661&lt;30,"Below 30",A661&lt;40,"30-39",A661&lt;50,"40-49",TRUE,"50+")</f>
        <v>Below 30</v>
      </c>
    </row>
    <row r="662" spans="1:33" x14ac:dyDescent="0.35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 cm="1">
        <f t="array" ref="AG662">_xlfn.IFS(A662&lt;30,"Below 30",A662&lt;40,"30-39",A662&lt;50,"40-49",TRUE,"50+")</f>
        <v>50+</v>
      </c>
    </row>
    <row r="663" spans="1:33" x14ac:dyDescent="0.35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 cm="1">
        <f t="array" ref="AG663">_xlfn.IFS(A663&lt;30,"Below 30",A663&lt;40,"30-39",A663&lt;50,"40-49",TRUE,"50+")</f>
        <v>40-49</v>
      </c>
    </row>
    <row r="664" spans="1:33" x14ac:dyDescent="0.35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 cm="1">
        <f t="array" ref="AG664">_xlfn.IFS(A664&lt;30,"Below 30",A664&lt;40,"30-39",A664&lt;50,"40-49",TRUE,"50+")</f>
        <v>Below 30</v>
      </c>
    </row>
    <row r="665" spans="1:33" x14ac:dyDescent="0.35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 cm="1">
        <f t="array" ref="AG665">_xlfn.IFS(A665&lt;30,"Below 30",A665&lt;40,"30-39",A665&lt;50,"40-49",TRUE,"50+")</f>
        <v>Below 30</v>
      </c>
    </row>
    <row r="666" spans="1:33" x14ac:dyDescent="0.35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 cm="1">
        <f t="array" ref="AG666">_xlfn.IFS(A666&lt;30,"Below 30",A666&lt;40,"30-39",A666&lt;50,"40-49",TRUE,"50+")</f>
        <v>30-39</v>
      </c>
    </row>
    <row r="667" spans="1:33" x14ac:dyDescent="0.35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 cm="1">
        <f t="array" ref="AG667">_xlfn.IFS(A667&lt;30,"Below 30",A667&lt;40,"30-39",A667&lt;50,"40-49",TRUE,"50+")</f>
        <v>40-49</v>
      </c>
    </row>
    <row r="668" spans="1:33" x14ac:dyDescent="0.35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 cm="1">
        <f t="array" ref="AG668">_xlfn.IFS(A668&lt;30,"Below 30",A668&lt;40,"30-39",A668&lt;50,"40-49",TRUE,"50+")</f>
        <v>Below 30</v>
      </c>
    </row>
    <row r="669" spans="1:33" x14ac:dyDescent="0.35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 cm="1">
        <f t="array" ref="AG669">_xlfn.IFS(A669&lt;30,"Below 30",A669&lt;40,"30-39",A669&lt;50,"40-49",TRUE,"50+")</f>
        <v>40-49</v>
      </c>
    </row>
    <row r="670" spans="1:33" x14ac:dyDescent="0.35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 cm="1">
        <f t="array" ref="AG670">_xlfn.IFS(A670&lt;30,"Below 30",A670&lt;40,"30-39",A670&lt;50,"40-49",TRUE,"50+")</f>
        <v>Below 30</v>
      </c>
    </row>
    <row r="671" spans="1:33" x14ac:dyDescent="0.35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 cm="1">
        <f t="array" ref="AG671">_xlfn.IFS(A671&lt;30,"Below 30",A671&lt;40,"30-39",A671&lt;50,"40-49",TRUE,"50+")</f>
        <v>30-39</v>
      </c>
    </row>
    <row r="672" spans="1:33" x14ac:dyDescent="0.35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 cm="1">
        <f t="array" ref="AG672">_xlfn.IFS(A672&lt;30,"Below 30",A672&lt;40,"30-39",A672&lt;50,"40-49",TRUE,"50+")</f>
        <v>Below 30</v>
      </c>
    </row>
    <row r="673" spans="1:33" x14ac:dyDescent="0.35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 cm="1">
        <f t="array" ref="AG673">_xlfn.IFS(A673&lt;30,"Below 30",A673&lt;40,"30-39",A673&lt;50,"40-49",TRUE,"50+")</f>
        <v>30-39</v>
      </c>
    </row>
    <row r="674" spans="1:33" x14ac:dyDescent="0.35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 cm="1">
        <f t="array" ref="AG674">_xlfn.IFS(A674&lt;30,"Below 30",A674&lt;40,"30-39",A674&lt;50,"40-49",TRUE,"50+")</f>
        <v>40-49</v>
      </c>
    </row>
    <row r="675" spans="1:33" x14ac:dyDescent="0.35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 cm="1">
        <f t="array" ref="AG675">_xlfn.IFS(A675&lt;30,"Below 30",A675&lt;40,"30-39",A675&lt;50,"40-49",TRUE,"50+")</f>
        <v>30-39</v>
      </c>
    </row>
    <row r="676" spans="1:33" x14ac:dyDescent="0.35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 cm="1">
        <f t="array" ref="AG676">_xlfn.IFS(A676&lt;30,"Below 30",A676&lt;40,"30-39",A676&lt;50,"40-49",TRUE,"50+")</f>
        <v>50+</v>
      </c>
    </row>
    <row r="677" spans="1:33" x14ac:dyDescent="0.35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 cm="1">
        <f t="array" ref="AG677">_xlfn.IFS(A677&lt;30,"Below 30",A677&lt;40,"30-39",A677&lt;50,"40-49",TRUE,"50+")</f>
        <v>30-39</v>
      </c>
    </row>
    <row r="678" spans="1:33" x14ac:dyDescent="0.35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 cm="1">
        <f t="array" ref="AG678">_xlfn.IFS(A678&lt;30,"Below 30",A678&lt;40,"30-39",A678&lt;50,"40-49",TRUE,"50+")</f>
        <v>30-39</v>
      </c>
    </row>
    <row r="679" spans="1:33" x14ac:dyDescent="0.35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 cm="1">
        <f t="array" ref="AG679">_xlfn.IFS(A679&lt;30,"Below 30",A679&lt;40,"30-39",A679&lt;50,"40-49",TRUE,"50+")</f>
        <v>40-49</v>
      </c>
    </row>
    <row r="680" spans="1:33" x14ac:dyDescent="0.35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 cm="1">
        <f t="array" ref="AG680">_xlfn.IFS(A680&lt;30,"Below 30",A680&lt;40,"30-39",A680&lt;50,"40-49",TRUE,"50+")</f>
        <v>40-49</v>
      </c>
    </row>
    <row r="681" spans="1:33" x14ac:dyDescent="0.35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 cm="1">
        <f t="array" ref="AG681">_xlfn.IFS(A681&lt;30,"Below 30",A681&lt;40,"30-39",A681&lt;50,"40-49",TRUE,"50+")</f>
        <v>30-39</v>
      </c>
    </row>
    <row r="682" spans="1:33" x14ac:dyDescent="0.35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 cm="1">
        <f t="array" ref="AG682">_xlfn.IFS(A682&lt;30,"Below 30",A682&lt;40,"30-39",A682&lt;50,"40-49",TRUE,"50+")</f>
        <v>30-39</v>
      </c>
    </row>
    <row r="683" spans="1:33" x14ac:dyDescent="0.35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 cm="1">
        <f t="array" ref="AG683">_xlfn.IFS(A683&lt;30,"Below 30",A683&lt;40,"30-39",A683&lt;50,"40-49",TRUE,"50+")</f>
        <v>30-39</v>
      </c>
    </row>
    <row r="684" spans="1:33" x14ac:dyDescent="0.35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 cm="1">
        <f t="array" ref="AG684">_xlfn.IFS(A684&lt;30,"Below 30",A684&lt;40,"30-39",A684&lt;50,"40-49",TRUE,"50+")</f>
        <v>30-39</v>
      </c>
    </row>
    <row r="685" spans="1:33" x14ac:dyDescent="0.35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 cm="1">
        <f t="array" ref="AG685">_xlfn.IFS(A685&lt;30,"Below 30",A685&lt;40,"30-39",A685&lt;50,"40-49",TRUE,"50+")</f>
        <v>Below 30</v>
      </c>
    </row>
    <row r="686" spans="1:33" x14ac:dyDescent="0.35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 cm="1">
        <f t="array" ref="AG686">_xlfn.IFS(A686&lt;30,"Below 30",A686&lt;40,"30-39",A686&lt;50,"40-49",TRUE,"50+")</f>
        <v>40-49</v>
      </c>
    </row>
    <row r="687" spans="1:33" x14ac:dyDescent="0.35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 cm="1">
        <f t="array" ref="AG687">_xlfn.IFS(A687&lt;30,"Below 30",A687&lt;40,"30-39",A687&lt;50,"40-49",TRUE,"50+")</f>
        <v>Below 30</v>
      </c>
    </row>
    <row r="688" spans="1:33" x14ac:dyDescent="0.35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 cm="1">
        <f t="array" ref="AG688">_xlfn.IFS(A688&lt;30,"Below 30",A688&lt;40,"30-39",A688&lt;50,"40-49",TRUE,"50+")</f>
        <v>40-49</v>
      </c>
    </row>
    <row r="689" spans="1:33" x14ac:dyDescent="0.35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 cm="1">
        <f t="array" ref="AG689">_xlfn.IFS(A689&lt;30,"Below 30",A689&lt;40,"30-39",A689&lt;50,"40-49",TRUE,"50+")</f>
        <v>30-39</v>
      </c>
    </row>
    <row r="690" spans="1:33" x14ac:dyDescent="0.35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 cm="1">
        <f t="array" ref="AG690">_xlfn.IFS(A690&lt;30,"Below 30",A690&lt;40,"30-39",A690&lt;50,"40-49",TRUE,"50+")</f>
        <v>Below 30</v>
      </c>
    </row>
    <row r="691" spans="1:33" x14ac:dyDescent="0.35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 cm="1">
        <f t="array" ref="AG691">_xlfn.IFS(A691&lt;30,"Below 30",A691&lt;40,"30-39",A691&lt;50,"40-49",TRUE,"50+")</f>
        <v>Below 30</v>
      </c>
    </row>
    <row r="692" spans="1:33" x14ac:dyDescent="0.35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 cm="1">
        <f t="array" ref="AG692">_xlfn.IFS(A692&lt;30,"Below 30",A692&lt;40,"30-39",A692&lt;50,"40-49",TRUE,"50+")</f>
        <v>30-39</v>
      </c>
    </row>
    <row r="693" spans="1:33" x14ac:dyDescent="0.35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 cm="1">
        <f t="array" ref="AG693">_xlfn.IFS(A693&lt;30,"Below 30",A693&lt;40,"30-39",A693&lt;50,"40-49",TRUE,"50+")</f>
        <v>40-49</v>
      </c>
    </row>
    <row r="694" spans="1:33" x14ac:dyDescent="0.35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 cm="1">
        <f t="array" ref="AG694">_xlfn.IFS(A694&lt;30,"Below 30",A694&lt;40,"30-39",A694&lt;50,"40-49",TRUE,"50+")</f>
        <v>30-39</v>
      </c>
    </row>
    <row r="695" spans="1:33" x14ac:dyDescent="0.35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 cm="1">
        <f t="array" ref="AG695">_xlfn.IFS(A695&lt;30,"Below 30",A695&lt;40,"30-39",A695&lt;50,"40-49",TRUE,"50+")</f>
        <v>30-39</v>
      </c>
    </row>
    <row r="696" spans="1:33" x14ac:dyDescent="0.35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 cm="1">
        <f t="array" ref="AG696">_xlfn.IFS(A696&lt;30,"Below 30",A696&lt;40,"30-39",A696&lt;50,"40-49",TRUE,"50+")</f>
        <v>30-39</v>
      </c>
    </row>
    <row r="697" spans="1:33" x14ac:dyDescent="0.35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 cm="1">
        <f t="array" ref="AG697">_xlfn.IFS(A697&lt;30,"Below 30",A697&lt;40,"30-39",A697&lt;50,"40-49",TRUE,"50+")</f>
        <v>30-39</v>
      </c>
    </row>
    <row r="698" spans="1:33" x14ac:dyDescent="0.35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 cm="1">
        <f t="array" ref="AG698">_xlfn.IFS(A698&lt;30,"Below 30",A698&lt;40,"30-39",A698&lt;50,"40-49",TRUE,"50+")</f>
        <v>40-49</v>
      </c>
    </row>
    <row r="699" spans="1:33" x14ac:dyDescent="0.35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 cm="1">
        <f t="array" ref="AG699">_xlfn.IFS(A699&lt;30,"Below 30",A699&lt;40,"30-39",A699&lt;50,"40-49",TRUE,"50+")</f>
        <v>Below 30</v>
      </c>
    </row>
    <row r="700" spans="1:33" x14ac:dyDescent="0.35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 cm="1">
        <f t="array" ref="AG700">_xlfn.IFS(A700&lt;30,"Below 30",A700&lt;40,"30-39",A700&lt;50,"40-49",TRUE,"50+")</f>
        <v>30-39</v>
      </c>
    </row>
    <row r="701" spans="1:33" x14ac:dyDescent="0.35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 cm="1">
        <f t="array" ref="AG701">_xlfn.IFS(A701&lt;30,"Below 30",A701&lt;40,"30-39",A701&lt;50,"40-49",TRUE,"50+")</f>
        <v>50+</v>
      </c>
    </row>
    <row r="702" spans="1:33" x14ac:dyDescent="0.35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 cm="1">
        <f t="array" ref="AG702">_xlfn.IFS(A702&lt;30,"Below 30",A702&lt;40,"30-39",A702&lt;50,"40-49",TRUE,"50+")</f>
        <v>50+</v>
      </c>
    </row>
    <row r="703" spans="1:33" x14ac:dyDescent="0.35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 cm="1">
        <f t="array" ref="AG703">_xlfn.IFS(A703&lt;30,"Below 30",A703&lt;40,"30-39",A703&lt;50,"40-49",TRUE,"50+")</f>
        <v>50+</v>
      </c>
    </row>
    <row r="704" spans="1:33" x14ac:dyDescent="0.35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 cm="1">
        <f t="array" ref="AG704">_xlfn.IFS(A704&lt;30,"Below 30",A704&lt;40,"30-39",A704&lt;50,"40-49",TRUE,"50+")</f>
        <v>30-39</v>
      </c>
    </row>
    <row r="705" spans="1:33" x14ac:dyDescent="0.35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 cm="1">
        <f t="array" ref="AG705">_xlfn.IFS(A705&lt;30,"Below 30",A705&lt;40,"30-39",A705&lt;50,"40-49",TRUE,"50+")</f>
        <v>30-39</v>
      </c>
    </row>
    <row r="706" spans="1:33" x14ac:dyDescent="0.35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 cm="1">
        <f t="array" ref="AG706">_xlfn.IFS(A706&lt;30,"Below 30",A706&lt;40,"30-39",A706&lt;50,"40-49",TRUE,"50+")</f>
        <v>30-39</v>
      </c>
    </row>
    <row r="707" spans="1:33" x14ac:dyDescent="0.35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 cm="1">
        <f t="array" ref="AG707">_xlfn.IFS(A707&lt;30,"Below 30",A707&lt;40,"30-39",A707&lt;50,"40-49",TRUE,"50+")</f>
        <v>30-39</v>
      </c>
    </row>
    <row r="708" spans="1:33" x14ac:dyDescent="0.35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 cm="1">
        <f t="array" ref="AG708">_xlfn.IFS(A708&lt;30,"Below 30",A708&lt;40,"30-39",A708&lt;50,"40-49",TRUE,"50+")</f>
        <v>40-49</v>
      </c>
    </row>
    <row r="709" spans="1:33" x14ac:dyDescent="0.35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 cm="1">
        <f t="array" ref="AG709">_xlfn.IFS(A709&lt;30,"Below 30",A709&lt;40,"30-39",A709&lt;50,"40-49",TRUE,"50+")</f>
        <v>40-49</v>
      </c>
    </row>
    <row r="710" spans="1:33" x14ac:dyDescent="0.35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 cm="1">
        <f t="array" ref="AG710">_xlfn.IFS(A710&lt;30,"Below 30",A710&lt;40,"30-39",A710&lt;50,"40-49",TRUE,"50+")</f>
        <v>30-39</v>
      </c>
    </row>
    <row r="711" spans="1:33" x14ac:dyDescent="0.35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 cm="1">
        <f t="array" ref="AG711">_xlfn.IFS(A711&lt;30,"Below 30",A711&lt;40,"30-39",A711&lt;50,"40-49",TRUE,"50+")</f>
        <v>30-39</v>
      </c>
    </row>
    <row r="712" spans="1:33" x14ac:dyDescent="0.35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 cm="1">
        <f t="array" ref="AG712">_xlfn.IFS(A712&lt;30,"Below 30",A712&lt;40,"30-39",A712&lt;50,"40-49",TRUE,"50+")</f>
        <v>30-39</v>
      </c>
    </row>
    <row r="713" spans="1:33" x14ac:dyDescent="0.35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 cm="1">
        <f t="array" ref="AG713">_xlfn.IFS(A713&lt;30,"Below 30",A713&lt;40,"30-39",A713&lt;50,"40-49",TRUE,"50+")</f>
        <v>Below 30</v>
      </c>
    </row>
    <row r="714" spans="1:33" x14ac:dyDescent="0.35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 cm="1">
        <f t="array" ref="AG714">_xlfn.IFS(A714&lt;30,"Below 30",A714&lt;40,"30-39",A714&lt;50,"40-49",TRUE,"50+")</f>
        <v>30-39</v>
      </c>
    </row>
    <row r="715" spans="1:33" x14ac:dyDescent="0.35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 cm="1">
        <f t="array" ref="AG715">_xlfn.IFS(A715&lt;30,"Below 30",A715&lt;40,"30-39",A715&lt;50,"40-49",TRUE,"50+")</f>
        <v>40-49</v>
      </c>
    </row>
    <row r="716" spans="1:33" x14ac:dyDescent="0.35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 cm="1">
        <f t="array" ref="AG716">_xlfn.IFS(A716&lt;30,"Below 30",A716&lt;40,"30-39",A716&lt;50,"40-49",TRUE,"50+")</f>
        <v>50+</v>
      </c>
    </row>
    <row r="717" spans="1:33" x14ac:dyDescent="0.35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 cm="1">
        <f t="array" ref="AG717">_xlfn.IFS(A717&lt;30,"Below 30",A717&lt;40,"30-39",A717&lt;50,"40-49",TRUE,"50+")</f>
        <v>30-39</v>
      </c>
    </row>
    <row r="718" spans="1:33" x14ac:dyDescent="0.35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 cm="1">
        <f t="array" ref="AG718">_xlfn.IFS(A718&lt;30,"Below 30",A718&lt;40,"30-39",A718&lt;50,"40-49",TRUE,"50+")</f>
        <v>40-49</v>
      </c>
    </row>
    <row r="719" spans="1:33" x14ac:dyDescent="0.35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 cm="1">
        <f t="array" ref="AG719">_xlfn.IFS(A719&lt;30,"Below 30",A719&lt;40,"30-39",A719&lt;50,"40-49",TRUE,"50+")</f>
        <v>Below 30</v>
      </c>
    </row>
    <row r="720" spans="1:33" x14ac:dyDescent="0.35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 cm="1">
        <f t="array" ref="AG720">_xlfn.IFS(A720&lt;30,"Below 30",A720&lt;40,"30-39",A720&lt;50,"40-49",TRUE,"50+")</f>
        <v>40-49</v>
      </c>
    </row>
    <row r="721" spans="1:33" x14ac:dyDescent="0.35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 cm="1">
        <f t="array" ref="AG721">_xlfn.IFS(A721&lt;30,"Below 30",A721&lt;40,"30-39",A721&lt;50,"40-49",TRUE,"50+")</f>
        <v>40-49</v>
      </c>
    </row>
    <row r="722" spans="1:33" x14ac:dyDescent="0.35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 cm="1">
        <f t="array" ref="AG722">_xlfn.IFS(A722&lt;30,"Below 30",A722&lt;40,"30-39",A722&lt;50,"40-49",TRUE,"50+")</f>
        <v>30-39</v>
      </c>
    </row>
    <row r="723" spans="1:33" x14ac:dyDescent="0.35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 cm="1">
        <f t="array" ref="AG723">_xlfn.IFS(A723&lt;30,"Below 30",A723&lt;40,"30-39",A723&lt;50,"40-49",TRUE,"50+")</f>
        <v>50+</v>
      </c>
    </row>
    <row r="724" spans="1:33" x14ac:dyDescent="0.35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 cm="1">
        <f t="array" ref="AG724">_xlfn.IFS(A724&lt;30,"Below 30",A724&lt;40,"30-39",A724&lt;50,"40-49",TRUE,"50+")</f>
        <v>30-39</v>
      </c>
    </row>
    <row r="725" spans="1:33" x14ac:dyDescent="0.35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 cm="1">
        <f t="array" ref="AG725">_xlfn.IFS(A725&lt;30,"Below 30",A725&lt;40,"30-39",A725&lt;50,"40-49",TRUE,"50+")</f>
        <v>40-49</v>
      </c>
    </row>
    <row r="726" spans="1:33" x14ac:dyDescent="0.35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 cm="1">
        <f t="array" ref="AG726">_xlfn.IFS(A726&lt;30,"Below 30",A726&lt;40,"30-39",A726&lt;50,"40-49",TRUE,"50+")</f>
        <v>Below 30</v>
      </c>
    </row>
    <row r="727" spans="1:33" x14ac:dyDescent="0.35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 cm="1">
        <f t="array" ref="AG727">_xlfn.IFS(A727&lt;30,"Below 30",A727&lt;40,"30-39",A727&lt;50,"40-49",TRUE,"50+")</f>
        <v>30-39</v>
      </c>
    </row>
    <row r="728" spans="1:33" x14ac:dyDescent="0.35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 cm="1">
        <f t="array" ref="AG728">_xlfn.IFS(A728&lt;30,"Below 30",A728&lt;40,"30-39",A728&lt;50,"40-49",TRUE,"50+")</f>
        <v>30-39</v>
      </c>
    </row>
    <row r="729" spans="1:33" x14ac:dyDescent="0.35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 cm="1">
        <f t="array" ref="AG729">_xlfn.IFS(A729&lt;30,"Below 30",A729&lt;40,"30-39",A729&lt;50,"40-49",TRUE,"50+")</f>
        <v>Below 30</v>
      </c>
    </row>
    <row r="730" spans="1:33" x14ac:dyDescent="0.35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 cm="1">
        <f t="array" ref="AG730">_xlfn.IFS(A730&lt;30,"Below 30",A730&lt;40,"30-39",A730&lt;50,"40-49",TRUE,"50+")</f>
        <v>50+</v>
      </c>
    </row>
    <row r="731" spans="1:33" x14ac:dyDescent="0.35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 cm="1">
        <f t="array" ref="AG731">_xlfn.IFS(A731&lt;30,"Below 30",A731&lt;40,"30-39",A731&lt;50,"40-49",TRUE,"50+")</f>
        <v>30-39</v>
      </c>
    </row>
    <row r="732" spans="1:33" x14ac:dyDescent="0.35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 cm="1">
        <f t="array" ref="AG732">_xlfn.IFS(A732&lt;30,"Below 30",A732&lt;40,"30-39",A732&lt;50,"40-49",TRUE,"50+")</f>
        <v>30-39</v>
      </c>
    </row>
    <row r="733" spans="1:33" x14ac:dyDescent="0.35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 cm="1">
        <f t="array" ref="AG733">_xlfn.IFS(A733&lt;30,"Below 30",A733&lt;40,"30-39",A733&lt;50,"40-49",TRUE,"50+")</f>
        <v>Below 30</v>
      </c>
    </row>
    <row r="734" spans="1:33" x14ac:dyDescent="0.35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 cm="1">
        <f t="array" ref="AG734">_xlfn.IFS(A734&lt;30,"Below 30",A734&lt;40,"30-39",A734&lt;50,"40-49",TRUE,"50+")</f>
        <v>30-39</v>
      </c>
    </row>
    <row r="735" spans="1:33" x14ac:dyDescent="0.35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 cm="1">
        <f t="array" ref="AG735">_xlfn.IFS(A735&lt;30,"Below 30",A735&lt;40,"30-39",A735&lt;50,"40-49",TRUE,"50+")</f>
        <v>Below 30</v>
      </c>
    </row>
    <row r="736" spans="1:33" x14ac:dyDescent="0.35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 cm="1">
        <f t="array" ref="AG736">_xlfn.IFS(A736&lt;30,"Below 30",A736&lt;40,"30-39",A736&lt;50,"40-49",TRUE,"50+")</f>
        <v>Below 30</v>
      </c>
    </row>
    <row r="737" spans="1:33" x14ac:dyDescent="0.35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 cm="1">
        <f t="array" ref="AG737">_xlfn.IFS(A737&lt;30,"Below 30",A737&lt;40,"30-39",A737&lt;50,"40-49",TRUE,"50+")</f>
        <v>40-49</v>
      </c>
    </row>
    <row r="738" spans="1:33" x14ac:dyDescent="0.35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 cm="1">
        <f t="array" ref="AG738">_xlfn.IFS(A738&lt;30,"Below 30",A738&lt;40,"30-39",A738&lt;50,"40-49",TRUE,"50+")</f>
        <v>40-49</v>
      </c>
    </row>
    <row r="739" spans="1:33" x14ac:dyDescent="0.35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 cm="1">
        <f t="array" ref="AG739">_xlfn.IFS(A739&lt;30,"Below 30",A739&lt;40,"30-39",A739&lt;50,"40-49",TRUE,"50+")</f>
        <v>40-49</v>
      </c>
    </row>
    <row r="740" spans="1:33" x14ac:dyDescent="0.35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 cm="1">
        <f t="array" ref="AG740">_xlfn.IFS(A740&lt;30,"Below 30",A740&lt;40,"30-39",A740&lt;50,"40-49",TRUE,"50+")</f>
        <v>30-39</v>
      </c>
    </row>
    <row r="741" spans="1:33" x14ac:dyDescent="0.35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 cm="1">
        <f t="array" ref="AG741">_xlfn.IFS(A741&lt;30,"Below 30",A741&lt;40,"30-39",A741&lt;50,"40-49",TRUE,"50+")</f>
        <v>Below 30</v>
      </c>
    </row>
    <row r="742" spans="1:33" x14ac:dyDescent="0.35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 cm="1">
        <f t="array" ref="AG742">_xlfn.IFS(A742&lt;30,"Below 30",A742&lt;40,"30-39",A742&lt;50,"40-49",TRUE,"50+")</f>
        <v>30-39</v>
      </c>
    </row>
    <row r="743" spans="1:33" x14ac:dyDescent="0.35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 cm="1">
        <f t="array" ref="AG743">_xlfn.IFS(A743&lt;30,"Below 30",A743&lt;40,"30-39",A743&lt;50,"40-49",TRUE,"50+")</f>
        <v>40-49</v>
      </c>
    </row>
    <row r="744" spans="1:33" x14ac:dyDescent="0.35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 cm="1">
        <f t="array" ref="AG744">_xlfn.IFS(A744&lt;30,"Below 30",A744&lt;40,"30-39",A744&lt;50,"40-49",TRUE,"50+")</f>
        <v>50+</v>
      </c>
    </row>
    <row r="745" spans="1:33" x14ac:dyDescent="0.35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 cm="1">
        <f t="array" ref="AG745">_xlfn.IFS(A745&lt;30,"Below 30",A745&lt;40,"30-39",A745&lt;50,"40-49",TRUE,"50+")</f>
        <v>50+</v>
      </c>
    </row>
    <row r="746" spans="1:33" x14ac:dyDescent="0.35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 cm="1">
        <f t="array" ref="AG746">_xlfn.IFS(A746&lt;30,"Below 30",A746&lt;40,"30-39",A746&lt;50,"40-49",TRUE,"50+")</f>
        <v>30-39</v>
      </c>
    </row>
    <row r="747" spans="1:33" x14ac:dyDescent="0.35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 cm="1">
        <f t="array" ref="AG747">_xlfn.IFS(A747&lt;30,"Below 30",A747&lt;40,"30-39",A747&lt;50,"40-49",TRUE,"50+")</f>
        <v>50+</v>
      </c>
    </row>
    <row r="748" spans="1:33" x14ac:dyDescent="0.35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 cm="1">
        <f t="array" ref="AG748">_xlfn.IFS(A748&lt;30,"Below 30",A748&lt;40,"30-39",A748&lt;50,"40-49",TRUE,"50+")</f>
        <v>40-49</v>
      </c>
    </row>
    <row r="749" spans="1:33" x14ac:dyDescent="0.35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 cm="1">
        <f t="array" ref="AG749">_xlfn.IFS(A749&lt;30,"Below 30",A749&lt;40,"30-39",A749&lt;50,"40-49",TRUE,"50+")</f>
        <v>30-39</v>
      </c>
    </row>
    <row r="750" spans="1:33" x14ac:dyDescent="0.35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 cm="1">
        <f t="array" ref="AG750">_xlfn.IFS(A750&lt;30,"Below 30",A750&lt;40,"30-39",A750&lt;50,"40-49",TRUE,"50+")</f>
        <v>Below 30</v>
      </c>
    </row>
    <row r="751" spans="1:33" x14ac:dyDescent="0.35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 cm="1">
        <f t="array" ref="AG751">_xlfn.IFS(A751&lt;30,"Below 30",A751&lt;40,"30-39",A751&lt;50,"40-49",TRUE,"50+")</f>
        <v>50+</v>
      </c>
    </row>
    <row r="752" spans="1:33" x14ac:dyDescent="0.35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 cm="1">
        <f t="array" ref="AG752">_xlfn.IFS(A752&lt;30,"Below 30",A752&lt;40,"30-39",A752&lt;50,"40-49",TRUE,"50+")</f>
        <v>40-49</v>
      </c>
    </row>
    <row r="753" spans="1:33" x14ac:dyDescent="0.35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 cm="1">
        <f t="array" ref="AG753">_xlfn.IFS(A753&lt;30,"Below 30",A753&lt;40,"30-39",A753&lt;50,"40-49",TRUE,"50+")</f>
        <v>50+</v>
      </c>
    </row>
    <row r="754" spans="1:33" x14ac:dyDescent="0.35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 cm="1">
        <f t="array" ref="AG754">_xlfn.IFS(A754&lt;30,"Below 30",A754&lt;40,"30-39",A754&lt;50,"40-49",TRUE,"50+")</f>
        <v>30-39</v>
      </c>
    </row>
    <row r="755" spans="1:33" x14ac:dyDescent="0.35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 cm="1">
        <f t="array" ref="AG755">_xlfn.IFS(A755&lt;30,"Below 30",A755&lt;40,"30-39",A755&lt;50,"40-49",TRUE,"50+")</f>
        <v>30-39</v>
      </c>
    </row>
    <row r="756" spans="1:33" x14ac:dyDescent="0.35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 cm="1">
        <f t="array" ref="AG756">_xlfn.IFS(A756&lt;30,"Below 30",A756&lt;40,"30-39",A756&lt;50,"40-49",TRUE,"50+")</f>
        <v>30-39</v>
      </c>
    </row>
    <row r="757" spans="1:33" x14ac:dyDescent="0.35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 cm="1">
        <f t="array" ref="AG757">_xlfn.IFS(A757&lt;30,"Below 30",A757&lt;40,"30-39",A757&lt;50,"40-49",TRUE,"50+")</f>
        <v>40-49</v>
      </c>
    </row>
    <row r="758" spans="1:33" x14ac:dyDescent="0.35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 cm="1">
        <f t="array" ref="AG758">_xlfn.IFS(A758&lt;30,"Below 30",A758&lt;40,"30-39",A758&lt;50,"40-49",TRUE,"50+")</f>
        <v>30-39</v>
      </c>
    </row>
    <row r="759" spans="1:33" x14ac:dyDescent="0.35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 cm="1">
        <f t="array" ref="AG759">_xlfn.IFS(A759&lt;30,"Below 30",A759&lt;40,"30-39",A759&lt;50,"40-49",TRUE,"50+")</f>
        <v>30-39</v>
      </c>
    </row>
    <row r="760" spans="1:33" x14ac:dyDescent="0.35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 cm="1">
        <f t="array" ref="AG760">_xlfn.IFS(A760&lt;30,"Below 30",A760&lt;40,"30-39",A760&lt;50,"40-49",TRUE,"50+")</f>
        <v>50+</v>
      </c>
    </row>
    <row r="761" spans="1:33" x14ac:dyDescent="0.35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 cm="1">
        <f t="array" ref="AG761">_xlfn.IFS(A761&lt;30,"Below 30",A761&lt;40,"30-39",A761&lt;50,"40-49",TRUE,"50+")</f>
        <v>40-49</v>
      </c>
    </row>
    <row r="762" spans="1:33" x14ac:dyDescent="0.35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 cm="1">
        <f t="array" ref="AG762">_xlfn.IFS(A762&lt;30,"Below 30",A762&lt;40,"30-39",A762&lt;50,"40-49",TRUE,"50+")</f>
        <v>50+</v>
      </c>
    </row>
    <row r="763" spans="1:33" x14ac:dyDescent="0.35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 cm="1">
        <f t="array" ref="AG763">_xlfn.IFS(A763&lt;30,"Below 30",A763&lt;40,"30-39",A763&lt;50,"40-49",TRUE,"50+")</f>
        <v>30-39</v>
      </c>
    </row>
    <row r="764" spans="1:33" x14ac:dyDescent="0.35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 cm="1">
        <f t="array" ref="AG764">_xlfn.IFS(A764&lt;30,"Below 30",A764&lt;40,"30-39",A764&lt;50,"40-49",TRUE,"50+")</f>
        <v>Below 30</v>
      </c>
    </row>
    <row r="765" spans="1:33" x14ac:dyDescent="0.35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 cm="1">
        <f t="array" ref="AG765">_xlfn.IFS(A765&lt;30,"Below 30",A765&lt;40,"30-39",A765&lt;50,"40-49",TRUE,"50+")</f>
        <v>30-39</v>
      </c>
    </row>
    <row r="766" spans="1:33" x14ac:dyDescent="0.35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 cm="1">
        <f t="array" ref="AG766">_xlfn.IFS(A766&lt;30,"Below 30",A766&lt;40,"30-39",A766&lt;50,"40-49",TRUE,"50+")</f>
        <v>Below 30</v>
      </c>
    </row>
    <row r="767" spans="1:33" x14ac:dyDescent="0.35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 cm="1">
        <f t="array" ref="AG767">_xlfn.IFS(A767&lt;30,"Below 30",A767&lt;40,"30-39",A767&lt;50,"40-49",TRUE,"50+")</f>
        <v>30-39</v>
      </c>
    </row>
    <row r="768" spans="1:33" x14ac:dyDescent="0.35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 cm="1">
        <f t="array" ref="AG768">_xlfn.IFS(A768&lt;30,"Below 30",A768&lt;40,"30-39",A768&lt;50,"40-49",TRUE,"50+")</f>
        <v>50+</v>
      </c>
    </row>
    <row r="769" spans="1:33" x14ac:dyDescent="0.35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 cm="1">
        <f t="array" ref="AG769">_xlfn.IFS(A769&lt;30,"Below 30",A769&lt;40,"30-39",A769&lt;50,"40-49",TRUE,"50+")</f>
        <v>30-39</v>
      </c>
    </row>
    <row r="770" spans="1:33" x14ac:dyDescent="0.35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 cm="1">
        <f t="array" ref="AG770">_xlfn.IFS(A770&lt;30,"Below 30",A770&lt;40,"30-39",A770&lt;50,"40-49",TRUE,"50+")</f>
        <v>40-49</v>
      </c>
    </row>
    <row r="771" spans="1:33" x14ac:dyDescent="0.35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 cm="1">
        <f t="array" ref="AG771">_xlfn.IFS(A771&lt;30,"Below 30",A771&lt;40,"30-39",A771&lt;50,"40-49",TRUE,"50+")</f>
        <v>Below 30</v>
      </c>
    </row>
    <row r="772" spans="1:33" x14ac:dyDescent="0.35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 cm="1">
        <f t="array" ref="AG772">_xlfn.IFS(A772&lt;30,"Below 30",A772&lt;40,"30-39",A772&lt;50,"40-49",TRUE,"50+")</f>
        <v>40-49</v>
      </c>
    </row>
    <row r="773" spans="1:33" x14ac:dyDescent="0.35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 cm="1">
        <f t="array" ref="AG773">_xlfn.IFS(A773&lt;30,"Below 30",A773&lt;40,"30-39",A773&lt;50,"40-49",TRUE,"50+")</f>
        <v>50+</v>
      </c>
    </row>
    <row r="774" spans="1:33" x14ac:dyDescent="0.35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 cm="1">
        <f t="array" ref="AG774">_xlfn.IFS(A774&lt;30,"Below 30",A774&lt;40,"30-39",A774&lt;50,"40-49",TRUE,"50+")</f>
        <v>50+</v>
      </c>
    </row>
    <row r="775" spans="1:33" x14ac:dyDescent="0.35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 cm="1">
        <f t="array" ref="AG775">_xlfn.IFS(A775&lt;30,"Below 30",A775&lt;40,"30-39",A775&lt;50,"40-49",TRUE,"50+")</f>
        <v>30-39</v>
      </c>
    </row>
    <row r="776" spans="1:33" x14ac:dyDescent="0.35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 cm="1">
        <f t="array" ref="AG776">_xlfn.IFS(A776&lt;30,"Below 30",A776&lt;40,"30-39",A776&lt;50,"40-49",TRUE,"50+")</f>
        <v>50+</v>
      </c>
    </row>
    <row r="777" spans="1:33" x14ac:dyDescent="0.35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 cm="1">
        <f t="array" ref="AG777">_xlfn.IFS(A777&lt;30,"Below 30",A777&lt;40,"30-39",A777&lt;50,"40-49",TRUE,"50+")</f>
        <v>40-49</v>
      </c>
    </row>
    <row r="778" spans="1:33" x14ac:dyDescent="0.35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 cm="1">
        <f t="array" ref="AG778">_xlfn.IFS(A778&lt;30,"Below 30",A778&lt;40,"30-39",A778&lt;50,"40-49",TRUE,"50+")</f>
        <v>Below 30</v>
      </c>
    </row>
    <row r="779" spans="1:33" x14ac:dyDescent="0.35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 cm="1">
        <f t="array" ref="AG779">_xlfn.IFS(A779&lt;30,"Below 30",A779&lt;40,"30-39",A779&lt;50,"40-49",TRUE,"50+")</f>
        <v>Below 30</v>
      </c>
    </row>
    <row r="780" spans="1:33" x14ac:dyDescent="0.35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 cm="1">
        <f t="array" ref="AG780">_xlfn.IFS(A780&lt;30,"Below 30",A780&lt;40,"30-39",A780&lt;50,"40-49",TRUE,"50+")</f>
        <v>40-49</v>
      </c>
    </row>
    <row r="781" spans="1:33" x14ac:dyDescent="0.35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 cm="1">
        <f t="array" ref="AG781">_xlfn.IFS(A781&lt;30,"Below 30",A781&lt;40,"30-39",A781&lt;50,"40-49",TRUE,"50+")</f>
        <v>50+</v>
      </c>
    </row>
    <row r="782" spans="1:33" x14ac:dyDescent="0.35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 cm="1">
        <f t="array" ref="AG782">_xlfn.IFS(A782&lt;30,"Below 30",A782&lt;40,"30-39",A782&lt;50,"40-49",TRUE,"50+")</f>
        <v>Below 30</v>
      </c>
    </row>
    <row r="783" spans="1:33" x14ac:dyDescent="0.35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 cm="1">
        <f t="array" ref="AG783">_xlfn.IFS(A783&lt;30,"Below 30",A783&lt;40,"30-39",A783&lt;50,"40-49",TRUE,"50+")</f>
        <v>Below 30</v>
      </c>
    </row>
    <row r="784" spans="1:33" x14ac:dyDescent="0.35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 cm="1">
        <f t="array" ref="AG784">_xlfn.IFS(A784&lt;30,"Below 30",A784&lt;40,"30-39",A784&lt;50,"40-49",TRUE,"50+")</f>
        <v>30-39</v>
      </c>
    </row>
    <row r="785" spans="1:33" x14ac:dyDescent="0.35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 cm="1">
        <f t="array" ref="AG785">_xlfn.IFS(A785&lt;30,"Below 30",A785&lt;40,"30-39",A785&lt;50,"40-49",TRUE,"50+")</f>
        <v>40-49</v>
      </c>
    </row>
    <row r="786" spans="1:33" x14ac:dyDescent="0.35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 cm="1">
        <f t="array" ref="AG786">_xlfn.IFS(A786&lt;30,"Below 30",A786&lt;40,"30-39",A786&lt;50,"40-49",TRUE,"50+")</f>
        <v>30-39</v>
      </c>
    </row>
    <row r="787" spans="1:33" x14ac:dyDescent="0.35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 cm="1">
        <f t="array" ref="AG787">_xlfn.IFS(A787&lt;30,"Below 30",A787&lt;40,"30-39",A787&lt;50,"40-49",TRUE,"50+")</f>
        <v>40-49</v>
      </c>
    </row>
    <row r="788" spans="1:33" x14ac:dyDescent="0.35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 cm="1">
        <f t="array" ref="AG788">_xlfn.IFS(A788&lt;30,"Below 30",A788&lt;40,"30-39",A788&lt;50,"40-49",TRUE,"50+")</f>
        <v>Below 30</v>
      </c>
    </row>
    <row r="789" spans="1:33" x14ac:dyDescent="0.35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 cm="1">
        <f t="array" ref="AG789">_xlfn.IFS(A789&lt;30,"Below 30",A789&lt;40,"30-39",A789&lt;50,"40-49",TRUE,"50+")</f>
        <v>50+</v>
      </c>
    </row>
    <row r="790" spans="1:33" x14ac:dyDescent="0.35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 cm="1">
        <f t="array" ref="AG790">_xlfn.IFS(A790&lt;30,"Below 30",A790&lt;40,"30-39",A790&lt;50,"40-49",TRUE,"50+")</f>
        <v>Below 30</v>
      </c>
    </row>
    <row r="791" spans="1:33" x14ac:dyDescent="0.35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 cm="1">
        <f t="array" ref="AG791">_xlfn.IFS(A791&lt;30,"Below 30",A791&lt;40,"30-39",A791&lt;50,"40-49",TRUE,"50+")</f>
        <v>40-49</v>
      </c>
    </row>
    <row r="792" spans="1:33" x14ac:dyDescent="0.35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 cm="1">
        <f t="array" ref="AG792">_xlfn.IFS(A792&lt;30,"Below 30",A792&lt;40,"30-39",A792&lt;50,"40-49",TRUE,"50+")</f>
        <v>30-39</v>
      </c>
    </row>
    <row r="793" spans="1:33" x14ac:dyDescent="0.35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 cm="1">
        <f t="array" ref="AG793">_xlfn.IFS(A793&lt;30,"Below 30",A793&lt;40,"30-39",A793&lt;50,"40-49",TRUE,"50+")</f>
        <v>30-39</v>
      </c>
    </row>
    <row r="794" spans="1:33" x14ac:dyDescent="0.35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 cm="1">
        <f t="array" ref="AG794">_xlfn.IFS(A794&lt;30,"Below 30",A794&lt;40,"30-39",A794&lt;50,"40-49",TRUE,"50+")</f>
        <v>30-39</v>
      </c>
    </row>
    <row r="795" spans="1:33" x14ac:dyDescent="0.35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 cm="1">
        <f t="array" ref="AG795">_xlfn.IFS(A795&lt;30,"Below 30",A795&lt;40,"30-39",A795&lt;50,"40-49",TRUE,"50+")</f>
        <v>Below 30</v>
      </c>
    </row>
    <row r="796" spans="1:33" x14ac:dyDescent="0.35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 cm="1">
        <f t="array" ref="AG796">_xlfn.IFS(A796&lt;30,"Below 30",A796&lt;40,"30-39",A796&lt;50,"40-49",TRUE,"50+")</f>
        <v>30-39</v>
      </c>
    </row>
    <row r="797" spans="1:33" x14ac:dyDescent="0.35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 cm="1">
        <f t="array" ref="AG797">_xlfn.IFS(A797&lt;30,"Below 30",A797&lt;40,"30-39",A797&lt;50,"40-49",TRUE,"50+")</f>
        <v>30-39</v>
      </c>
    </row>
    <row r="798" spans="1:33" x14ac:dyDescent="0.35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 cm="1">
        <f t="array" ref="AG798">_xlfn.IFS(A798&lt;30,"Below 30",A798&lt;40,"30-39",A798&lt;50,"40-49",TRUE,"50+")</f>
        <v>Below 30</v>
      </c>
    </row>
    <row r="799" spans="1:33" x14ac:dyDescent="0.35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 cm="1">
        <f t="array" ref="AG799">_xlfn.IFS(A799&lt;30,"Below 30",A799&lt;40,"30-39",A799&lt;50,"40-49",TRUE,"50+")</f>
        <v>Below 30</v>
      </c>
    </row>
    <row r="800" spans="1:33" x14ac:dyDescent="0.35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 cm="1">
        <f t="array" ref="AG800">_xlfn.IFS(A800&lt;30,"Below 30",A800&lt;40,"30-39",A800&lt;50,"40-49",TRUE,"50+")</f>
        <v>30-39</v>
      </c>
    </row>
    <row r="801" spans="1:33" x14ac:dyDescent="0.35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 cm="1">
        <f t="array" ref="AG801">_xlfn.IFS(A801&lt;30,"Below 30",A801&lt;40,"30-39",A801&lt;50,"40-49",TRUE,"50+")</f>
        <v>40-49</v>
      </c>
    </row>
    <row r="802" spans="1:33" x14ac:dyDescent="0.35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 cm="1">
        <f t="array" ref="AG802">_xlfn.IFS(A802&lt;30,"Below 30",A802&lt;40,"30-39",A802&lt;50,"40-49",TRUE,"50+")</f>
        <v>Below 30</v>
      </c>
    </row>
    <row r="803" spans="1:33" x14ac:dyDescent="0.35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 cm="1">
        <f t="array" ref="AG803">_xlfn.IFS(A803&lt;30,"Below 30",A803&lt;40,"30-39",A803&lt;50,"40-49",TRUE,"50+")</f>
        <v>50+</v>
      </c>
    </row>
    <row r="804" spans="1:33" x14ac:dyDescent="0.35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 cm="1">
        <f t="array" ref="AG804">_xlfn.IFS(A804&lt;30,"Below 30",A804&lt;40,"30-39",A804&lt;50,"40-49",TRUE,"50+")</f>
        <v>30-39</v>
      </c>
    </row>
    <row r="805" spans="1:33" x14ac:dyDescent="0.35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 cm="1">
        <f t="array" ref="AG805">_xlfn.IFS(A805&lt;30,"Below 30",A805&lt;40,"30-39",A805&lt;50,"40-49",TRUE,"50+")</f>
        <v>30-39</v>
      </c>
    </row>
    <row r="806" spans="1:33" x14ac:dyDescent="0.35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 cm="1">
        <f t="array" ref="AG806">_xlfn.IFS(A806&lt;30,"Below 30",A806&lt;40,"30-39",A806&lt;50,"40-49",TRUE,"50+")</f>
        <v>40-49</v>
      </c>
    </row>
    <row r="807" spans="1:33" x14ac:dyDescent="0.35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 cm="1">
        <f t="array" ref="AG807">_xlfn.IFS(A807&lt;30,"Below 30",A807&lt;40,"30-39",A807&lt;50,"40-49",TRUE,"50+")</f>
        <v>40-49</v>
      </c>
    </row>
    <row r="808" spans="1:33" x14ac:dyDescent="0.35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 cm="1">
        <f t="array" ref="AG808">_xlfn.IFS(A808&lt;30,"Below 30",A808&lt;40,"30-39",A808&lt;50,"40-49",TRUE,"50+")</f>
        <v>50+</v>
      </c>
    </row>
    <row r="809" spans="1:33" x14ac:dyDescent="0.35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 cm="1">
        <f t="array" ref="AG809">_xlfn.IFS(A809&lt;30,"Below 30",A809&lt;40,"30-39",A809&lt;50,"40-49",TRUE,"50+")</f>
        <v>30-39</v>
      </c>
    </row>
    <row r="810" spans="1:33" x14ac:dyDescent="0.35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 cm="1">
        <f t="array" ref="AG810">_xlfn.IFS(A810&lt;30,"Below 30",A810&lt;40,"30-39",A810&lt;50,"40-49",TRUE,"50+")</f>
        <v>Below 30</v>
      </c>
    </row>
    <row r="811" spans="1:33" x14ac:dyDescent="0.35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 cm="1">
        <f t="array" ref="AG811">_xlfn.IFS(A811&lt;30,"Below 30",A811&lt;40,"30-39",A811&lt;50,"40-49",TRUE,"50+")</f>
        <v>Below 30</v>
      </c>
    </row>
    <row r="812" spans="1:33" x14ac:dyDescent="0.35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 cm="1">
        <f t="array" ref="AG812">_xlfn.IFS(A812&lt;30,"Below 30",A812&lt;40,"30-39",A812&lt;50,"40-49",TRUE,"50+")</f>
        <v>40-49</v>
      </c>
    </row>
    <row r="813" spans="1:33" x14ac:dyDescent="0.35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 cm="1">
        <f t="array" ref="AG813">_xlfn.IFS(A813&lt;30,"Below 30",A813&lt;40,"30-39",A813&lt;50,"40-49",TRUE,"50+")</f>
        <v>30-39</v>
      </c>
    </row>
    <row r="814" spans="1:33" x14ac:dyDescent="0.35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 cm="1">
        <f t="array" ref="AG814">_xlfn.IFS(A814&lt;30,"Below 30",A814&lt;40,"30-39",A814&lt;50,"40-49",TRUE,"50+")</f>
        <v>40-49</v>
      </c>
    </row>
    <row r="815" spans="1:33" x14ac:dyDescent="0.35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 cm="1">
        <f t="array" ref="AG815">_xlfn.IFS(A815&lt;30,"Below 30",A815&lt;40,"30-39",A815&lt;50,"40-49",TRUE,"50+")</f>
        <v>30-39</v>
      </c>
    </row>
    <row r="816" spans="1:33" x14ac:dyDescent="0.35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 cm="1">
        <f t="array" ref="AG816">_xlfn.IFS(A816&lt;30,"Below 30",A816&lt;40,"30-39",A816&lt;50,"40-49",TRUE,"50+")</f>
        <v>40-49</v>
      </c>
    </row>
    <row r="817" spans="1:33" x14ac:dyDescent="0.35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 cm="1">
        <f t="array" ref="AG817">_xlfn.IFS(A817&lt;30,"Below 30",A817&lt;40,"30-39",A817&lt;50,"40-49",TRUE,"50+")</f>
        <v>Below 30</v>
      </c>
    </row>
    <row r="818" spans="1:33" x14ac:dyDescent="0.35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 cm="1">
        <f t="array" ref="AG818">_xlfn.IFS(A818&lt;30,"Below 30",A818&lt;40,"30-39",A818&lt;50,"40-49",TRUE,"50+")</f>
        <v>30-39</v>
      </c>
    </row>
    <row r="819" spans="1:33" x14ac:dyDescent="0.35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 cm="1">
        <f t="array" ref="AG819">_xlfn.IFS(A819&lt;30,"Below 30",A819&lt;40,"30-39",A819&lt;50,"40-49",TRUE,"50+")</f>
        <v>30-39</v>
      </c>
    </row>
    <row r="820" spans="1:33" x14ac:dyDescent="0.35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 cm="1">
        <f t="array" ref="AG820">_xlfn.IFS(A820&lt;30,"Below 30",A820&lt;40,"30-39",A820&lt;50,"40-49",TRUE,"50+")</f>
        <v>30-39</v>
      </c>
    </row>
    <row r="821" spans="1:33" x14ac:dyDescent="0.35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 cm="1">
        <f t="array" ref="AG821">_xlfn.IFS(A821&lt;30,"Below 30",A821&lt;40,"30-39",A821&lt;50,"40-49",TRUE,"50+")</f>
        <v>Below 30</v>
      </c>
    </row>
    <row r="822" spans="1:33" x14ac:dyDescent="0.35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 cm="1">
        <f t="array" ref="AG822">_xlfn.IFS(A822&lt;30,"Below 30",A822&lt;40,"30-39",A822&lt;50,"40-49",TRUE,"50+")</f>
        <v>30-39</v>
      </c>
    </row>
    <row r="823" spans="1:33" x14ac:dyDescent="0.35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 cm="1">
        <f t="array" ref="AG823">_xlfn.IFS(A823&lt;30,"Below 30",A823&lt;40,"30-39",A823&lt;50,"40-49",TRUE,"50+")</f>
        <v>40-49</v>
      </c>
    </row>
    <row r="824" spans="1:33" x14ac:dyDescent="0.35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 cm="1">
        <f t="array" ref="AG824">_xlfn.IFS(A824&lt;30,"Below 30",A824&lt;40,"30-39",A824&lt;50,"40-49",TRUE,"50+")</f>
        <v>30-39</v>
      </c>
    </row>
    <row r="825" spans="1:33" x14ac:dyDescent="0.35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 cm="1">
        <f t="array" ref="AG825">_xlfn.IFS(A825&lt;30,"Below 30",A825&lt;40,"30-39",A825&lt;50,"40-49",TRUE,"50+")</f>
        <v>Below 30</v>
      </c>
    </row>
    <row r="826" spans="1:33" x14ac:dyDescent="0.35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 cm="1">
        <f t="array" ref="AG826">_xlfn.IFS(A826&lt;30,"Below 30",A826&lt;40,"30-39",A826&lt;50,"40-49",TRUE,"50+")</f>
        <v>40-49</v>
      </c>
    </row>
    <row r="827" spans="1:33" x14ac:dyDescent="0.35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 cm="1">
        <f t="array" ref="AG827">_xlfn.IFS(A827&lt;30,"Below 30",A827&lt;40,"30-39",A827&lt;50,"40-49",TRUE,"50+")</f>
        <v>Below 30</v>
      </c>
    </row>
    <row r="828" spans="1:33" x14ac:dyDescent="0.35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 cm="1">
        <f t="array" ref="AG828">_xlfn.IFS(A828&lt;30,"Below 30",A828&lt;40,"30-39",A828&lt;50,"40-49",TRUE,"50+")</f>
        <v>30-39</v>
      </c>
    </row>
    <row r="829" spans="1:33" x14ac:dyDescent="0.35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 cm="1">
        <f t="array" ref="AG829">_xlfn.IFS(A829&lt;30,"Below 30",A829&lt;40,"30-39",A829&lt;50,"40-49",TRUE,"50+")</f>
        <v>Below 30</v>
      </c>
    </row>
    <row r="830" spans="1:33" x14ac:dyDescent="0.35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 cm="1">
        <f t="array" ref="AG830">_xlfn.IFS(A830&lt;30,"Below 30",A830&lt;40,"30-39",A830&lt;50,"40-49",TRUE,"50+")</f>
        <v>Below 30</v>
      </c>
    </row>
    <row r="831" spans="1:33" x14ac:dyDescent="0.35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 cm="1">
        <f t="array" ref="AG831">_xlfn.IFS(A831&lt;30,"Below 30",A831&lt;40,"30-39",A831&lt;50,"40-49",TRUE,"50+")</f>
        <v>30-39</v>
      </c>
    </row>
    <row r="832" spans="1:33" x14ac:dyDescent="0.35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 cm="1">
        <f t="array" ref="AG832">_xlfn.IFS(A832&lt;30,"Below 30",A832&lt;40,"30-39",A832&lt;50,"40-49",TRUE,"50+")</f>
        <v>40-49</v>
      </c>
    </row>
    <row r="833" spans="1:33" x14ac:dyDescent="0.35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 cm="1">
        <f t="array" ref="AG833">_xlfn.IFS(A833&lt;30,"Below 30",A833&lt;40,"30-39",A833&lt;50,"40-49",TRUE,"50+")</f>
        <v>30-39</v>
      </c>
    </row>
    <row r="834" spans="1:33" x14ac:dyDescent="0.35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 cm="1">
        <f t="array" ref="AG834">_xlfn.IFS(A834&lt;30,"Below 30",A834&lt;40,"30-39",A834&lt;50,"40-49",TRUE,"50+")</f>
        <v>30-39</v>
      </c>
    </row>
    <row r="835" spans="1:33" x14ac:dyDescent="0.35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 cm="1">
        <f t="array" ref="AG835">_xlfn.IFS(A835&lt;30,"Below 30",A835&lt;40,"30-39",A835&lt;50,"40-49",TRUE,"50+")</f>
        <v>Below 30</v>
      </c>
    </row>
    <row r="836" spans="1:33" x14ac:dyDescent="0.35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 cm="1">
        <f t="array" ref="AG836">_xlfn.IFS(A836&lt;30,"Below 30",A836&lt;40,"30-39",A836&lt;50,"40-49",TRUE,"50+")</f>
        <v>30-39</v>
      </c>
    </row>
    <row r="837" spans="1:33" x14ac:dyDescent="0.35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 cm="1">
        <f t="array" ref="AG837">_xlfn.IFS(A837&lt;30,"Below 30",A837&lt;40,"30-39",A837&lt;50,"40-49",TRUE,"50+")</f>
        <v>30-39</v>
      </c>
    </row>
    <row r="838" spans="1:33" x14ac:dyDescent="0.35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 cm="1">
        <f t="array" ref="AG838">_xlfn.IFS(A838&lt;30,"Below 30",A838&lt;40,"30-39",A838&lt;50,"40-49",TRUE,"50+")</f>
        <v>Below 30</v>
      </c>
    </row>
    <row r="839" spans="1:33" x14ac:dyDescent="0.35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 cm="1">
        <f t="array" ref="AG839">_xlfn.IFS(A839&lt;30,"Below 30",A839&lt;40,"30-39",A839&lt;50,"40-49",TRUE,"50+")</f>
        <v>40-49</v>
      </c>
    </row>
    <row r="840" spans="1:33" x14ac:dyDescent="0.35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 cm="1">
        <f t="array" ref="AG840">_xlfn.IFS(A840&lt;30,"Below 30",A840&lt;40,"30-39",A840&lt;50,"40-49",TRUE,"50+")</f>
        <v>40-49</v>
      </c>
    </row>
    <row r="841" spans="1:33" x14ac:dyDescent="0.35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 cm="1">
        <f t="array" ref="AG841">_xlfn.IFS(A841&lt;30,"Below 30",A841&lt;40,"30-39",A841&lt;50,"40-49",TRUE,"50+")</f>
        <v>40-49</v>
      </c>
    </row>
    <row r="842" spans="1:33" x14ac:dyDescent="0.35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 cm="1">
        <f t="array" ref="AG842">_xlfn.IFS(A842&lt;30,"Below 30",A842&lt;40,"30-39",A842&lt;50,"40-49",TRUE,"50+")</f>
        <v>30-39</v>
      </c>
    </row>
    <row r="843" spans="1:33" x14ac:dyDescent="0.35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 cm="1">
        <f t="array" ref="AG843">_xlfn.IFS(A843&lt;30,"Below 30",A843&lt;40,"30-39",A843&lt;50,"40-49",TRUE,"50+")</f>
        <v>Below 30</v>
      </c>
    </row>
    <row r="844" spans="1:33" x14ac:dyDescent="0.35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 cm="1">
        <f t="array" ref="AG844">_xlfn.IFS(A844&lt;30,"Below 30",A844&lt;40,"30-39",A844&lt;50,"40-49",TRUE,"50+")</f>
        <v>Below 30</v>
      </c>
    </row>
    <row r="845" spans="1:33" x14ac:dyDescent="0.35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 cm="1">
        <f t="array" ref="AG845">_xlfn.IFS(A845&lt;30,"Below 30",A845&lt;40,"30-39",A845&lt;50,"40-49",TRUE,"50+")</f>
        <v>Below 30</v>
      </c>
    </row>
    <row r="846" spans="1:33" x14ac:dyDescent="0.35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 cm="1">
        <f t="array" ref="AG846">_xlfn.IFS(A846&lt;30,"Below 30",A846&lt;40,"30-39",A846&lt;50,"40-49",TRUE,"50+")</f>
        <v>30-39</v>
      </c>
    </row>
    <row r="847" spans="1:33" x14ac:dyDescent="0.35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 cm="1">
        <f t="array" ref="AG847">_xlfn.IFS(A847&lt;30,"Below 30",A847&lt;40,"30-39",A847&lt;50,"40-49",TRUE,"50+")</f>
        <v>40-49</v>
      </c>
    </row>
    <row r="848" spans="1:33" x14ac:dyDescent="0.35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 cm="1">
        <f t="array" ref="AG848">_xlfn.IFS(A848&lt;30,"Below 30",A848&lt;40,"30-39",A848&lt;50,"40-49",TRUE,"50+")</f>
        <v>30-39</v>
      </c>
    </row>
    <row r="849" spans="1:33" x14ac:dyDescent="0.35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 cm="1">
        <f t="array" ref="AG849">_xlfn.IFS(A849&lt;30,"Below 30",A849&lt;40,"30-39",A849&lt;50,"40-49",TRUE,"50+")</f>
        <v>30-39</v>
      </c>
    </row>
    <row r="850" spans="1:33" x14ac:dyDescent="0.35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 cm="1">
        <f t="array" ref="AG850">_xlfn.IFS(A850&lt;30,"Below 30",A850&lt;40,"30-39",A850&lt;50,"40-49",TRUE,"50+")</f>
        <v>30-39</v>
      </c>
    </row>
    <row r="851" spans="1:33" x14ac:dyDescent="0.35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 cm="1">
        <f t="array" ref="AG851">_xlfn.IFS(A851&lt;30,"Below 30",A851&lt;40,"30-39",A851&lt;50,"40-49",TRUE,"50+")</f>
        <v>40-49</v>
      </c>
    </row>
    <row r="852" spans="1:33" x14ac:dyDescent="0.35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 cm="1">
        <f t="array" ref="AG852">_xlfn.IFS(A852&lt;30,"Below 30",A852&lt;40,"30-39",A852&lt;50,"40-49",TRUE,"50+")</f>
        <v>30-39</v>
      </c>
    </row>
    <row r="853" spans="1:33" x14ac:dyDescent="0.35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 cm="1">
        <f t="array" ref="AG853">_xlfn.IFS(A853&lt;30,"Below 30",A853&lt;40,"30-39",A853&lt;50,"40-49",TRUE,"50+")</f>
        <v>50+</v>
      </c>
    </row>
    <row r="854" spans="1:33" x14ac:dyDescent="0.35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 cm="1">
        <f t="array" ref="AG854">_xlfn.IFS(A854&lt;30,"Below 30",A854&lt;40,"30-39",A854&lt;50,"40-49",TRUE,"50+")</f>
        <v>Below 30</v>
      </c>
    </row>
    <row r="855" spans="1:33" x14ac:dyDescent="0.35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 cm="1">
        <f t="array" ref="AG855">_xlfn.IFS(A855&lt;30,"Below 30",A855&lt;40,"30-39",A855&lt;50,"40-49",TRUE,"50+")</f>
        <v>Below 30</v>
      </c>
    </row>
    <row r="856" spans="1:33" x14ac:dyDescent="0.35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 cm="1">
        <f t="array" ref="AG856">_xlfn.IFS(A856&lt;30,"Below 30",A856&lt;40,"30-39",A856&lt;50,"40-49",TRUE,"50+")</f>
        <v>40-49</v>
      </c>
    </row>
    <row r="857" spans="1:33" x14ac:dyDescent="0.35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 cm="1">
        <f t="array" ref="AG857">_xlfn.IFS(A857&lt;30,"Below 30",A857&lt;40,"30-39",A857&lt;50,"40-49",TRUE,"50+")</f>
        <v>30-39</v>
      </c>
    </row>
    <row r="858" spans="1:33" x14ac:dyDescent="0.35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 cm="1">
        <f t="array" ref="AG858">_xlfn.IFS(A858&lt;30,"Below 30",A858&lt;40,"30-39",A858&lt;50,"40-49",TRUE,"50+")</f>
        <v>Below 30</v>
      </c>
    </row>
    <row r="859" spans="1:33" x14ac:dyDescent="0.35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 cm="1">
        <f t="array" ref="AG859">_xlfn.IFS(A859&lt;30,"Below 30",A859&lt;40,"30-39",A859&lt;50,"40-49",TRUE,"50+")</f>
        <v>40-49</v>
      </c>
    </row>
    <row r="860" spans="1:33" x14ac:dyDescent="0.35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 cm="1">
        <f t="array" ref="AG860">_xlfn.IFS(A860&lt;30,"Below 30",A860&lt;40,"30-39",A860&lt;50,"40-49",TRUE,"50+")</f>
        <v>50+</v>
      </c>
    </row>
    <row r="861" spans="1:33" x14ac:dyDescent="0.35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 cm="1">
        <f t="array" ref="AG861">_xlfn.IFS(A861&lt;30,"Below 30",A861&lt;40,"30-39",A861&lt;50,"40-49",TRUE,"50+")</f>
        <v>Below 30</v>
      </c>
    </row>
    <row r="862" spans="1:33" x14ac:dyDescent="0.35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 cm="1">
        <f t="array" ref="AG862">_xlfn.IFS(A862&lt;30,"Below 30",A862&lt;40,"30-39",A862&lt;50,"40-49",TRUE,"50+")</f>
        <v>Below 30</v>
      </c>
    </row>
    <row r="863" spans="1:33" x14ac:dyDescent="0.35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 cm="1">
        <f t="array" ref="AG863">_xlfn.IFS(A863&lt;30,"Below 30",A863&lt;40,"30-39",A863&lt;50,"40-49",TRUE,"50+")</f>
        <v>40-49</v>
      </c>
    </row>
    <row r="864" spans="1:33" x14ac:dyDescent="0.35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 cm="1">
        <f t="array" ref="AG864">_xlfn.IFS(A864&lt;30,"Below 30",A864&lt;40,"30-39",A864&lt;50,"40-49",TRUE,"50+")</f>
        <v>40-49</v>
      </c>
    </row>
    <row r="865" spans="1:33" x14ac:dyDescent="0.35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 cm="1">
        <f t="array" ref="AG865">_xlfn.IFS(A865&lt;30,"Below 30",A865&lt;40,"30-39",A865&lt;50,"40-49",TRUE,"50+")</f>
        <v>30-39</v>
      </c>
    </row>
    <row r="866" spans="1:33" x14ac:dyDescent="0.35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 cm="1">
        <f t="array" ref="AG866">_xlfn.IFS(A866&lt;30,"Below 30",A866&lt;40,"30-39",A866&lt;50,"40-49",TRUE,"50+")</f>
        <v>40-49</v>
      </c>
    </row>
    <row r="867" spans="1:33" x14ac:dyDescent="0.35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 cm="1">
        <f t="array" ref="AG867">_xlfn.IFS(A867&lt;30,"Below 30",A867&lt;40,"30-39",A867&lt;50,"40-49",TRUE,"50+")</f>
        <v>30-39</v>
      </c>
    </row>
    <row r="868" spans="1:33" x14ac:dyDescent="0.35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 cm="1">
        <f t="array" ref="AG868">_xlfn.IFS(A868&lt;30,"Below 30",A868&lt;40,"30-39",A868&lt;50,"40-49",TRUE,"50+")</f>
        <v>40-49</v>
      </c>
    </row>
    <row r="869" spans="1:33" x14ac:dyDescent="0.35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 cm="1">
        <f t="array" ref="AG869">_xlfn.IFS(A869&lt;30,"Below 30",A869&lt;40,"30-39",A869&lt;50,"40-49",TRUE,"50+")</f>
        <v>50+</v>
      </c>
    </row>
    <row r="870" spans="1:33" x14ac:dyDescent="0.35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 cm="1">
        <f t="array" ref="AG870">_xlfn.IFS(A870&lt;30,"Below 30",A870&lt;40,"30-39",A870&lt;50,"40-49",TRUE,"50+")</f>
        <v>Below 30</v>
      </c>
    </row>
    <row r="871" spans="1:33" x14ac:dyDescent="0.35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 cm="1">
        <f t="array" ref="AG871">_xlfn.IFS(A871&lt;30,"Below 30",A871&lt;40,"30-39",A871&lt;50,"40-49",TRUE,"50+")</f>
        <v>40-49</v>
      </c>
    </row>
    <row r="872" spans="1:33" x14ac:dyDescent="0.35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 cm="1">
        <f t="array" ref="AG872">_xlfn.IFS(A872&lt;30,"Below 30",A872&lt;40,"30-39",A872&lt;50,"40-49",TRUE,"50+")</f>
        <v>30-39</v>
      </c>
    </row>
    <row r="873" spans="1:33" x14ac:dyDescent="0.35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 cm="1">
        <f t="array" ref="AG873">_xlfn.IFS(A873&lt;30,"Below 30",A873&lt;40,"30-39",A873&lt;50,"40-49",TRUE,"50+")</f>
        <v>Below 30</v>
      </c>
    </row>
    <row r="874" spans="1:33" x14ac:dyDescent="0.35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 cm="1">
        <f t="array" ref="AG874">_xlfn.IFS(A874&lt;30,"Below 30",A874&lt;40,"30-39",A874&lt;50,"40-49",TRUE,"50+")</f>
        <v>30-39</v>
      </c>
    </row>
    <row r="875" spans="1:33" x14ac:dyDescent="0.35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 cm="1">
        <f t="array" ref="AG875">_xlfn.IFS(A875&lt;30,"Below 30",A875&lt;40,"30-39",A875&lt;50,"40-49",TRUE,"50+")</f>
        <v>30-39</v>
      </c>
    </row>
    <row r="876" spans="1:33" x14ac:dyDescent="0.35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 cm="1">
        <f t="array" ref="AG876">_xlfn.IFS(A876&lt;30,"Below 30",A876&lt;40,"30-39",A876&lt;50,"40-49",TRUE,"50+")</f>
        <v>30-39</v>
      </c>
    </row>
    <row r="877" spans="1:33" x14ac:dyDescent="0.35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 cm="1">
        <f t="array" ref="AG877">_xlfn.IFS(A877&lt;30,"Below 30",A877&lt;40,"30-39",A877&lt;50,"40-49",TRUE,"50+")</f>
        <v>40-49</v>
      </c>
    </row>
    <row r="878" spans="1:33" x14ac:dyDescent="0.35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 cm="1">
        <f t="array" ref="AG878">_xlfn.IFS(A878&lt;30,"Below 30",A878&lt;40,"30-39",A878&lt;50,"40-49",TRUE,"50+")</f>
        <v>Below 30</v>
      </c>
    </row>
    <row r="879" spans="1:33" x14ac:dyDescent="0.35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 cm="1">
        <f t="array" ref="AG879">_xlfn.IFS(A879&lt;30,"Below 30",A879&lt;40,"30-39",A879&lt;50,"40-49",TRUE,"50+")</f>
        <v>40-49</v>
      </c>
    </row>
    <row r="880" spans="1:33" x14ac:dyDescent="0.35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 cm="1">
        <f t="array" ref="AG880">_xlfn.IFS(A880&lt;30,"Below 30",A880&lt;40,"30-39",A880&lt;50,"40-49",TRUE,"50+")</f>
        <v>40-49</v>
      </c>
    </row>
    <row r="881" spans="1:33" x14ac:dyDescent="0.35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 cm="1">
        <f t="array" ref="AG881">_xlfn.IFS(A881&lt;30,"Below 30",A881&lt;40,"30-39",A881&lt;50,"40-49",TRUE,"50+")</f>
        <v>50+</v>
      </c>
    </row>
    <row r="882" spans="1:33" x14ac:dyDescent="0.35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 cm="1">
        <f t="array" ref="AG882">_xlfn.IFS(A882&lt;30,"Below 30",A882&lt;40,"30-39",A882&lt;50,"40-49",TRUE,"50+")</f>
        <v>30-39</v>
      </c>
    </row>
    <row r="883" spans="1:33" x14ac:dyDescent="0.35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 cm="1">
        <f t="array" ref="AG883">_xlfn.IFS(A883&lt;30,"Below 30",A883&lt;40,"30-39",A883&lt;50,"40-49",TRUE,"50+")</f>
        <v>30-39</v>
      </c>
    </row>
    <row r="884" spans="1:33" x14ac:dyDescent="0.35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 cm="1">
        <f t="array" ref="AG884">_xlfn.IFS(A884&lt;30,"Below 30",A884&lt;40,"30-39",A884&lt;50,"40-49",TRUE,"50+")</f>
        <v>30-39</v>
      </c>
    </row>
    <row r="885" spans="1:33" x14ac:dyDescent="0.35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 cm="1">
        <f t="array" ref="AG885">_xlfn.IFS(A885&lt;30,"Below 30",A885&lt;40,"30-39",A885&lt;50,"40-49",TRUE,"50+")</f>
        <v>30-39</v>
      </c>
    </row>
    <row r="886" spans="1:33" x14ac:dyDescent="0.35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 cm="1">
        <f t="array" ref="AG886">_xlfn.IFS(A886&lt;30,"Below 30",A886&lt;40,"30-39",A886&lt;50,"40-49",TRUE,"50+")</f>
        <v>40-49</v>
      </c>
    </row>
    <row r="887" spans="1:33" x14ac:dyDescent="0.35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 cm="1">
        <f t="array" ref="AG887">_xlfn.IFS(A887&lt;30,"Below 30",A887&lt;40,"30-39",A887&lt;50,"40-49",TRUE,"50+")</f>
        <v>Below 30</v>
      </c>
    </row>
    <row r="888" spans="1:33" x14ac:dyDescent="0.35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 cm="1">
        <f t="array" ref="AG888">_xlfn.IFS(A888&lt;30,"Below 30",A888&lt;40,"30-39",A888&lt;50,"40-49",TRUE,"50+")</f>
        <v>30-39</v>
      </c>
    </row>
    <row r="889" spans="1:33" x14ac:dyDescent="0.35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 cm="1">
        <f t="array" ref="AG889">_xlfn.IFS(A889&lt;30,"Below 30",A889&lt;40,"30-39",A889&lt;50,"40-49",TRUE,"50+")</f>
        <v>40-49</v>
      </c>
    </row>
    <row r="890" spans="1:33" x14ac:dyDescent="0.35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 cm="1">
        <f t="array" ref="AG890">_xlfn.IFS(A890&lt;30,"Below 30",A890&lt;40,"30-39",A890&lt;50,"40-49",TRUE,"50+")</f>
        <v>30-39</v>
      </c>
    </row>
    <row r="891" spans="1:33" x14ac:dyDescent="0.35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 cm="1">
        <f t="array" ref="AG891">_xlfn.IFS(A891&lt;30,"Below 30",A891&lt;40,"30-39",A891&lt;50,"40-49",TRUE,"50+")</f>
        <v>Below 30</v>
      </c>
    </row>
    <row r="892" spans="1:33" x14ac:dyDescent="0.35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 cm="1">
        <f t="array" ref="AG892">_xlfn.IFS(A892&lt;30,"Below 30",A892&lt;40,"30-39",A892&lt;50,"40-49",TRUE,"50+")</f>
        <v>50+</v>
      </c>
    </row>
    <row r="893" spans="1:33" x14ac:dyDescent="0.35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 cm="1">
        <f t="array" ref="AG893">_xlfn.IFS(A893&lt;30,"Below 30",A893&lt;40,"30-39",A893&lt;50,"40-49",TRUE,"50+")</f>
        <v>40-49</v>
      </c>
    </row>
    <row r="894" spans="1:33" x14ac:dyDescent="0.35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 cm="1">
        <f t="array" ref="AG894">_xlfn.IFS(A894&lt;30,"Below 30",A894&lt;40,"30-39",A894&lt;50,"40-49",TRUE,"50+")</f>
        <v>Below 30</v>
      </c>
    </row>
    <row r="895" spans="1:33" x14ac:dyDescent="0.35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 cm="1">
        <f t="array" ref="AG895">_xlfn.IFS(A895&lt;30,"Below 30",A895&lt;40,"30-39",A895&lt;50,"40-49",TRUE,"50+")</f>
        <v>Below 30</v>
      </c>
    </row>
    <row r="896" spans="1:33" x14ac:dyDescent="0.35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 cm="1">
        <f t="array" ref="AG896">_xlfn.IFS(A896&lt;30,"Below 30",A896&lt;40,"30-39",A896&lt;50,"40-49",TRUE,"50+")</f>
        <v>50+</v>
      </c>
    </row>
    <row r="897" spans="1:33" x14ac:dyDescent="0.35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 cm="1">
        <f t="array" ref="AG897">_xlfn.IFS(A897&lt;30,"Below 30",A897&lt;40,"30-39",A897&lt;50,"40-49",TRUE,"50+")</f>
        <v>30-39</v>
      </c>
    </row>
    <row r="898" spans="1:33" x14ac:dyDescent="0.35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 cm="1">
        <f t="array" ref="AG898">_xlfn.IFS(A898&lt;30,"Below 30",A898&lt;40,"30-39",A898&lt;50,"40-49",TRUE,"50+")</f>
        <v>30-39</v>
      </c>
    </row>
    <row r="899" spans="1:33" x14ac:dyDescent="0.35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 cm="1">
        <f t="array" ref="AG899">_xlfn.IFS(A899&lt;30,"Below 30",A899&lt;40,"30-39",A899&lt;50,"40-49",TRUE,"50+")</f>
        <v>50+</v>
      </c>
    </row>
    <row r="900" spans="1:33" x14ac:dyDescent="0.35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 cm="1">
        <f t="array" ref="AG900">_xlfn.IFS(A900&lt;30,"Below 30",A900&lt;40,"30-39",A900&lt;50,"40-49",TRUE,"50+")</f>
        <v>40-49</v>
      </c>
    </row>
    <row r="901" spans="1:33" x14ac:dyDescent="0.35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 cm="1">
        <f t="array" ref="AG901">_xlfn.IFS(A901&lt;30,"Below 30",A901&lt;40,"30-39",A901&lt;50,"40-49",TRUE,"50+")</f>
        <v>40-49</v>
      </c>
    </row>
    <row r="902" spans="1:33" x14ac:dyDescent="0.35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 cm="1">
        <f t="array" ref="AG902">_xlfn.IFS(A902&lt;30,"Below 30",A902&lt;40,"30-39",A902&lt;50,"40-49",TRUE,"50+")</f>
        <v>30-39</v>
      </c>
    </row>
    <row r="903" spans="1:33" x14ac:dyDescent="0.35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 cm="1">
        <f t="array" ref="AG903">_xlfn.IFS(A903&lt;30,"Below 30",A903&lt;40,"30-39",A903&lt;50,"40-49",TRUE,"50+")</f>
        <v>40-49</v>
      </c>
    </row>
    <row r="904" spans="1:33" x14ac:dyDescent="0.35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 cm="1">
        <f t="array" ref="AG904">_xlfn.IFS(A904&lt;30,"Below 30",A904&lt;40,"30-39",A904&lt;50,"40-49",TRUE,"50+")</f>
        <v>Below 30</v>
      </c>
    </row>
    <row r="905" spans="1:33" x14ac:dyDescent="0.35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 cm="1">
        <f t="array" ref="AG905">_xlfn.IFS(A905&lt;30,"Below 30",A905&lt;40,"30-39",A905&lt;50,"40-49",TRUE,"50+")</f>
        <v>Below 30</v>
      </c>
    </row>
    <row r="906" spans="1:33" x14ac:dyDescent="0.35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 cm="1">
        <f t="array" ref="AG906">_xlfn.IFS(A906&lt;30,"Below 30",A906&lt;40,"30-39",A906&lt;50,"40-49",TRUE,"50+")</f>
        <v>40-49</v>
      </c>
    </row>
    <row r="907" spans="1:33" x14ac:dyDescent="0.35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 cm="1">
        <f t="array" ref="AG907">_xlfn.IFS(A907&lt;30,"Below 30",A907&lt;40,"30-39",A907&lt;50,"40-49",TRUE,"50+")</f>
        <v>Below 30</v>
      </c>
    </row>
    <row r="908" spans="1:33" x14ac:dyDescent="0.35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 cm="1">
        <f t="array" ref="AG908">_xlfn.IFS(A908&lt;30,"Below 30",A908&lt;40,"30-39",A908&lt;50,"40-49",TRUE,"50+")</f>
        <v>30-39</v>
      </c>
    </row>
    <row r="909" spans="1:33" x14ac:dyDescent="0.35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 cm="1">
        <f t="array" ref="AG909">_xlfn.IFS(A909&lt;30,"Below 30",A909&lt;40,"30-39",A909&lt;50,"40-49",TRUE,"50+")</f>
        <v>40-49</v>
      </c>
    </row>
    <row r="910" spans="1:33" x14ac:dyDescent="0.35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 cm="1">
        <f t="array" ref="AG910">_xlfn.IFS(A910&lt;30,"Below 30",A910&lt;40,"30-39",A910&lt;50,"40-49",TRUE,"50+")</f>
        <v>30-39</v>
      </c>
    </row>
    <row r="911" spans="1:33" x14ac:dyDescent="0.35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 cm="1">
        <f t="array" ref="AG911">_xlfn.IFS(A911&lt;30,"Below 30",A911&lt;40,"30-39",A911&lt;50,"40-49",TRUE,"50+")</f>
        <v>Below 30</v>
      </c>
    </row>
    <row r="912" spans="1:33" x14ac:dyDescent="0.35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 cm="1">
        <f t="array" ref="AG912">_xlfn.IFS(A912&lt;30,"Below 30",A912&lt;40,"30-39",A912&lt;50,"40-49",TRUE,"50+")</f>
        <v>Below 30</v>
      </c>
    </row>
    <row r="913" spans="1:33" x14ac:dyDescent="0.35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 cm="1">
        <f t="array" ref="AG913">_xlfn.IFS(A913&lt;30,"Below 30",A913&lt;40,"30-39",A913&lt;50,"40-49",TRUE,"50+")</f>
        <v>Below 30</v>
      </c>
    </row>
    <row r="914" spans="1:33" x14ac:dyDescent="0.35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 cm="1">
        <f t="array" ref="AG914">_xlfn.IFS(A914&lt;30,"Below 30",A914&lt;40,"30-39",A914&lt;50,"40-49",TRUE,"50+")</f>
        <v>Below 30</v>
      </c>
    </row>
    <row r="915" spans="1:33" x14ac:dyDescent="0.35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 cm="1">
        <f t="array" ref="AG915">_xlfn.IFS(A915&lt;30,"Below 30",A915&lt;40,"30-39",A915&lt;50,"40-49",TRUE,"50+")</f>
        <v>40-49</v>
      </c>
    </row>
    <row r="916" spans="1:33" x14ac:dyDescent="0.35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 cm="1">
        <f t="array" ref="AG916">_xlfn.IFS(A916&lt;30,"Below 30",A916&lt;40,"30-39",A916&lt;50,"40-49",TRUE,"50+")</f>
        <v>50+</v>
      </c>
    </row>
    <row r="917" spans="1:33" x14ac:dyDescent="0.35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 cm="1">
        <f t="array" ref="AG917">_xlfn.IFS(A917&lt;30,"Below 30",A917&lt;40,"30-39",A917&lt;50,"40-49",TRUE,"50+")</f>
        <v>Below 30</v>
      </c>
    </row>
    <row r="918" spans="1:33" x14ac:dyDescent="0.35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 cm="1">
        <f t="array" ref="AG918">_xlfn.IFS(A918&lt;30,"Below 30",A918&lt;40,"30-39",A918&lt;50,"40-49",TRUE,"50+")</f>
        <v>40-49</v>
      </c>
    </row>
    <row r="919" spans="1:33" x14ac:dyDescent="0.35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 cm="1">
        <f t="array" ref="AG919">_xlfn.IFS(A919&lt;30,"Below 30",A919&lt;40,"30-39",A919&lt;50,"40-49",TRUE,"50+")</f>
        <v>30-39</v>
      </c>
    </row>
    <row r="920" spans="1:33" x14ac:dyDescent="0.35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 cm="1">
        <f t="array" ref="AG920">_xlfn.IFS(A920&lt;30,"Below 30",A920&lt;40,"30-39",A920&lt;50,"40-49",TRUE,"50+")</f>
        <v>50+</v>
      </c>
    </row>
    <row r="921" spans="1:33" x14ac:dyDescent="0.35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 cm="1">
        <f t="array" ref="AG921">_xlfn.IFS(A921&lt;30,"Below 30",A921&lt;40,"30-39",A921&lt;50,"40-49",TRUE,"50+")</f>
        <v>50+</v>
      </c>
    </row>
    <row r="922" spans="1:33" x14ac:dyDescent="0.35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 cm="1">
        <f t="array" ref="AG922">_xlfn.IFS(A922&lt;30,"Below 30",A922&lt;40,"30-39",A922&lt;50,"40-49",TRUE,"50+")</f>
        <v>30-39</v>
      </c>
    </row>
    <row r="923" spans="1:33" x14ac:dyDescent="0.35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 cm="1">
        <f t="array" ref="AG923">_xlfn.IFS(A923&lt;30,"Below 30",A923&lt;40,"30-39",A923&lt;50,"40-49",TRUE,"50+")</f>
        <v>Below 30</v>
      </c>
    </row>
    <row r="924" spans="1:33" x14ac:dyDescent="0.35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 cm="1">
        <f t="array" ref="AG924">_xlfn.IFS(A924&lt;30,"Below 30",A924&lt;40,"30-39",A924&lt;50,"40-49",TRUE,"50+")</f>
        <v>40-49</v>
      </c>
    </row>
    <row r="925" spans="1:33" x14ac:dyDescent="0.35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 cm="1">
        <f t="array" ref="AG925">_xlfn.IFS(A925&lt;30,"Below 30",A925&lt;40,"30-39",A925&lt;50,"40-49",TRUE,"50+")</f>
        <v>30-39</v>
      </c>
    </row>
    <row r="926" spans="1:33" x14ac:dyDescent="0.35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 cm="1">
        <f t="array" ref="AG926">_xlfn.IFS(A926&lt;30,"Below 30",A926&lt;40,"30-39",A926&lt;50,"40-49",TRUE,"50+")</f>
        <v>30-39</v>
      </c>
    </row>
    <row r="927" spans="1:33" x14ac:dyDescent="0.35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 cm="1">
        <f t="array" ref="AG927">_xlfn.IFS(A927&lt;30,"Below 30",A927&lt;40,"30-39",A927&lt;50,"40-49",TRUE,"50+")</f>
        <v>40-49</v>
      </c>
    </row>
    <row r="928" spans="1:33" x14ac:dyDescent="0.35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 cm="1">
        <f t="array" ref="AG928">_xlfn.IFS(A928&lt;30,"Below 30",A928&lt;40,"30-39",A928&lt;50,"40-49",TRUE,"50+")</f>
        <v>40-49</v>
      </c>
    </row>
    <row r="929" spans="1:33" x14ac:dyDescent="0.35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 cm="1">
        <f t="array" ref="AG929">_xlfn.IFS(A929&lt;30,"Below 30",A929&lt;40,"30-39",A929&lt;50,"40-49",TRUE,"50+")</f>
        <v>30-39</v>
      </c>
    </row>
    <row r="930" spans="1:33" x14ac:dyDescent="0.35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 cm="1">
        <f t="array" ref="AG930">_xlfn.IFS(A930&lt;30,"Below 30",A930&lt;40,"30-39",A930&lt;50,"40-49",TRUE,"50+")</f>
        <v>40-49</v>
      </c>
    </row>
    <row r="931" spans="1:33" x14ac:dyDescent="0.35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 cm="1">
        <f t="array" ref="AG931">_xlfn.IFS(A931&lt;30,"Below 30",A931&lt;40,"30-39",A931&lt;50,"40-49",TRUE,"50+")</f>
        <v>Below 30</v>
      </c>
    </row>
    <row r="932" spans="1:33" x14ac:dyDescent="0.35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 cm="1">
        <f t="array" ref="AG932">_xlfn.IFS(A932&lt;30,"Below 30",A932&lt;40,"30-39",A932&lt;50,"40-49",TRUE,"50+")</f>
        <v>50+</v>
      </c>
    </row>
    <row r="933" spans="1:33" x14ac:dyDescent="0.35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 cm="1">
        <f t="array" ref="AG933">_xlfn.IFS(A933&lt;30,"Below 30",A933&lt;40,"30-39",A933&lt;50,"40-49",TRUE,"50+")</f>
        <v>30-39</v>
      </c>
    </row>
    <row r="934" spans="1:33" x14ac:dyDescent="0.35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 cm="1">
        <f t="array" ref="AG934">_xlfn.IFS(A934&lt;30,"Below 30",A934&lt;40,"30-39",A934&lt;50,"40-49",TRUE,"50+")</f>
        <v>Below 30</v>
      </c>
    </row>
    <row r="935" spans="1:33" x14ac:dyDescent="0.35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 cm="1">
        <f t="array" ref="AG935">_xlfn.IFS(A935&lt;30,"Below 30",A935&lt;40,"30-39",A935&lt;50,"40-49",TRUE,"50+")</f>
        <v>Below 30</v>
      </c>
    </row>
    <row r="936" spans="1:33" x14ac:dyDescent="0.35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 cm="1">
        <f t="array" ref="AG936">_xlfn.IFS(A936&lt;30,"Below 30",A936&lt;40,"30-39",A936&lt;50,"40-49",TRUE,"50+")</f>
        <v>Below 30</v>
      </c>
    </row>
    <row r="937" spans="1:33" x14ac:dyDescent="0.35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 cm="1">
        <f t="array" ref="AG937">_xlfn.IFS(A937&lt;30,"Below 30",A937&lt;40,"30-39",A937&lt;50,"40-49",TRUE,"50+")</f>
        <v>30-39</v>
      </c>
    </row>
    <row r="938" spans="1:33" x14ac:dyDescent="0.35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 cm="1">
        <f t="array" ref="AG938">_xlfn.IFS(A938&lt;30,"Below 30",A938&lt;40,"30-39",A938&lt;50,"40-49",TRUE,"50+")</f>
        <v>40-49</v>
      </c>
    </row>
    <row r="939" spans="1:33" x14ac:dyDescent="0.35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 cm="1">
        <f t="array" ref="AG939">_xlfn.IFS(A939&lt;30,"Below 30",A939&lt;40,"30-39",A939&lt;50,"40-49",TRUE,"50+")</f>
        <v>30-39</v>
      </c>
    </row>
    <row r="940" spans="1:33" x14ac:dyDescent="0.35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 cm="1">
        <f t="array" ref="AG940">_xlfn.IFS(A940&lt;30,"Below 30",A940&lt;40,"30-39",A940&lt;50,"40-49",TRUE,"50+")</f>
        <v>50+</v>
      </c>
    </row>
    <row r="941" spans="1:33" x14ac:dyDescent="0.35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 cm="1">
        <f t="array" ref="AG941">_xlfn.IFS(A941&lt;30,"Below 30",A941&lt;40,"30-39",A941&lt;50,"40-49",TRUE,"50+")</f>
        <v>30-39</v>
      </c>
    </row>
    <row r="942" spans="1:33" x14ac:dyDescent="0.35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 cm="1">
        <f t="array" ref="AG942">_xlfn.IFS(A942&lt;30,"Below 30",A942&lt;40,"30-39",A942&lt;50,"40-49",TRUE,"50+")</f>
        <v>30-39</v>
      </c>
    </row>
    <row r="943" spans="1:33" x14ac:dyDescent="0.35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 cm="1">
        <f t="array" ref="AG943">_xlfn.IFS(A943&lt;30,"Below 30",A943&lt;40,"30-39",A943&lt;50,"40-49",TRUE,"50+")</f>
        <v>30-39</v>
      </c>
    </row>
    <row r="944" spans="1:33" x14ac:dyDescent="0.35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 cm="1">
        <f t="array" ref="AG944">_xlfn.IFS(A944&lt;30,"Below 30",A944&lt;40,"30-39",A944&lt;50,"40-49",TRUE,"50+")</f>
        <v>30-39</v>
      </c>
    </row>
    <row r="945" spans="1:33" x14ac:dyDescent="0.35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 cm="1">
        <f t="array" ref="AG945">_xlfn.IFS(A945&lt;30,"Below 30",A945&lt;40,"30-39",A945&lt;50,"40-49",TRUE,"50+")</f>
        <v>40-49</v>
      </c>
    </row>
    <row r="946" spans="1:33" x14ac:dyDescent="0.35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 cm="1">
        <f t="array" ref="AG946">_xlfn.IFS(A946&lt;30,"Below 30",A946&lt;40,"30-39",A946&lt;50,"40-49",TRUE,"50+")</f>
        <v>Below 30</v>
      </c>
    </row>
    <row r="947" spans="1:33" x14ac:dyDescent="0.35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 cm="1">
        <f t="array" ref="AG947">_xlfn.IFS(A947&lt;30,"Below 30",A947&lt;40,"30-39",A947&lt;50,"40-49",TRUE,"50+")</f>
        <v>50+</v>
      </c>
    </row>
    <row r="948" spans="1:33" x14ac:dyDescent="0.35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 cm="1">
        <f t="array" ref="AG948">_xlfn.IFS(A948&lt;30,"Below 30",A948&lt;40,"30-39",A948&lt;50,"40-49",TRUE,"50+")</f>
        <v>40-49</v>
      </c>
    </row>
    <row r="949" spans="1:33" x14ac:dyDescent="0.35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 cm="1">
        <f t="array" ref="AG949">_xlfn.IFS(A949&lt;30,"Below 30",A949&lt;40,"30-39",A949&lt;50,"40-49",TRUE,"50+")</f>
        <v>50+</v>
      </c>
    </row>
    <row r="950" spans="1:33" x14ac:dyDescent="0.35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 cm="1">
        <f t="array" ref="AG950">_xlfn.IFS(A950&lt;30,"Below 30",A950&lt;40,"30-39",A950&lt;50,"40-49",TRUE,"50+")</f>
        <v>30-39</v>
      </c>
    </row>
    <row r="951" spans="1:33" x14ac:dyDescent="0.35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 cm="1">
        <f t="array" ref="AG951">_xlfn.IFS(A951&lt;30,"Below 30",A951&lt;40,"30-39",A951&lt;50,"40-49",TRUE,"50+")</f>
        <v>30-39</v>
      </c>
    </row>
    <row r="952" spans="1:33" x14ac:dyDescent="0.35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 cm="1">
        <f t="array" ref="AG952">_xlfn.IFS(A952&lt;30,"Below 30",A952&lt;40,"30-39",A952&lt;50,"40-49",TRUE,"50+")</f>
        <v>30-39</v>
      </c>
    </row>
    <row r="953" spans="1:33" x14ac:dyDescent="0.35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 cm="1">
        <f t="array" ref="AG953">_xlfn.IFS(A953&lt;30,"Below 30",A953&lt;40,"30-39",A953&lt;50,"40-49",TRUE,"50+")</f>
        <v>40-49</v>
      </c>
    </row>
    <row r="954" spans="1:33" x14ac:dyDescent="0.35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 cm="1">
        <f t="array" ref="AG954">_xlfn.IFS(A954&lt;30,"Below 30",A954&lt;40,"30-39",A954&lt;50,"40-49",TRUE,"50+")</f>
        <v>30-39</v>
      </c>
    </row>
    <row r="955" spans="1:33" x14ac:dyDescent="0.35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 cm="1">
        <f t="array" ref="AG955">_xlfn.IFS(A955&lt;30,"Below 30",A955&lt;40,"30-39",A955&lt;50,"40-49",TRUE,"50+")</f>
        <v>40-49</v>
      </c>
    </row>
    <row r="956" spans="1:33" x14ac:dyDescent="0.35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 cm="1">
        <f t="array" ref="AG956">_xlfn.IFS(A956&lt;30,"Below 30",A956&lt;40,"30-39",A956&lt;50,"40-49",TRUE,"50+")</f>
        <v>40-49</v>
      </c>
    </row>
    <row r="957" spans="1:33" x14ac:dyDescent="0.35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 cm="1">
        <f t="array" ref="AG957">_xlfn.IFS(A957&lt;30,"Below 30",A957&lt;40,"30-39",A957&lt;50,"40-49",TRUE,"50+")</f>
        <v>50+</v>
      </c>
    </row>
    <row r="958" spans="1:33" x14ac:dyDescent="0.35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 cm="1">
        <f t="array" ref="AG958">_xlfn.IFS(A958&lt;30,"Below 30",A958&lt;40,"30-39",A958&lt;50,"40-49",TRUE,"50+")</f>
        <v>50+</v>
      </c>
    </row>
    <row r="959" spans="1:33" x14ac:dyDescent="0.35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 cm="1">
        <f t="array" ref="AG959">_xlfn.IFS(A959&lt;30,"Below 30",A959&lt;40,"30-39",A959&lt;50,"40-49",TRUE,"50+")</f>
        <v>40-49</v>
      </c>
    </row>
    <row r="960" spans="1:33" x14ac:dyDescent="0.35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 cm="1">
        <f t="array" ref="AG960">_xlfn.IFS(A960&lt;30,"Below 30",A960&lt;40,"30-39",A960&lt;50,"40-49",TRUE,"50+")</f>
        <v>30-39</v>
      </c>
    </row>
    <row r="961" spans="1:33" x14ac:dyDescent="0.35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 cm="1">
        <f t="array" ref="AG961">_xlfn.IFS(A961&lt;30,"Below 30",A961&lt;40,"30-39",A961&lt;50,"40-49",TRUE,"50+")</f>
        <v>40-49</v>
      </c>
    </row>
    <row r="962" spans="1:33" x14ac:dyDescent="0.35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 cm="1">
        <f t="array" ref="AG962">_xlfn.IFS(A962&lt;30,"Below 30",A962&lt;40,"30-39",A962&lt;50,"40-49",TRUE,"50+")</f>
        <v>40-49</v>
      </c>
    </row>
    <row r="963" spans="1:33" x14ac:dyDescent="0.35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 cm="1">
        <f t="array" ref="AG963">_xlfn.IFS(A963&lt;30,"Below 30",A963&lt;40,"30-39",A963&lt;50,"40-49",TRUE,"50+")</f>
        <v>30-39</v>
      </c>
    </row>
    <row r="964" spans="1:33" x14ac:dyDescent="0.35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 cm="1">
        <f t="array" ref="AG964">_xlfn.IFS(A964&lt;30,"Below 30",A964&lt;40,"30-39",A964&lt;50,"40-49",TRUE,"50+")</f>
        <v>50+</v>
      </c>
    </row>
    <row r="965" spans="1:33" x14ac:dyDescent="0.35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 cm="1">
        <f t="array" ref="AG965">_xlfn.IFS(A965&lt;30,"Below 30",A965&lt;40,"30-39",A965&lt;50,"40-49",TRUE,"50+")</f>
        <v>30-39</v>
      </c>
    </row>
    <row r="966" spans="1:33" x14ac:dyDescent="0.35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 cm="1">
        <f t="array" ref="AG966">_xlfn.IFS(A966&lt;30,"Below 30",A966&lt;40,"30-39",A966&lt;50,"40-49",TRUE,"50+")</f>
        <v>30-39</v>
      </c>
    </row>
    <row r="967" spans="1:33" x14ac:dyDescent="0.35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 cm="1">
        <f t="array" ref="AG967">_xlfn.IFS(A967&lt;30,"Below 30",A967&lt;40,"30-39",A967&lt;50,"40-49",TRUE,"50+")</f>
        <v>Below 30</v>
      </c>
    </row>
    <row r="968" spans="1:33" x14ac:dyDescent="0.35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 cm="1">
        <f t="array" ref="AG968">_xlfn.IFS(A968&lt;30,"Below 30",A968&lt;40,"30-39",A968&lt;50,"40-49",TRUE,"50+")</f>
        <v>50+</v>
      </c>
    </row>
    <row r="969" spans="1:33" x14ac:dyDescent="0.35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 cm="1">
        <f t="array" ref="AG969">_xlfn.IFS(A969&lt;30,"Below 30",A969&lt;40,"30-39",A969&lt;50,"40-49",TRUE,"50+")</f>
        <v>40-49</v>
      </c>
    </row>
    <row r="970" spans="1:33" x14ac:dyDescent="0.35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 cm="1">
        <f t="array" ref="AG970">_xlfn.IFS(A970&lt;30,"Below 30",A970&lt;40,"30-39",A970&lt;50,"40-49",TRUE,"50+")</f>
        <v>30-39</v>
      </c>
    </row>
    <row r="971" spans="1:33" x14ac:dyDescent="0.35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 cm="1">
        <f t="array" ref="AG971">_xlfn.IFS(A971&lt;30,"Below 30",A971&lt;40,"30-39",A971&lt;50,"40-49",TRUE,"50+")</f>
        <v>40-49</v>
      </c>
    </row>
    <row r="972" spans="1:33" x14ac:dyDescent="0.35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 cm="1">
        <f t="array" ref="AG972">_xlfn.IFS(A972&lt;30,"Below 30",A972&lt;40,"30-39",A972&lt;50,"40-49",TRUE,"50+")</f>
        <v>Below 30</v>
      </c>
    </row>
    <row r="973" spans="1:33" x14ac:dyDescent="0.35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 cm="1">
        <f t="array" ref="AG973">_xlfn.IFS(A973&lt;30,"Below 30",A973&lt;40,"30-39",A973&lt;50,"40-49",TRUE,"50+")</f>
        <v>50+</v>
      </c>
    </row>
    <row r="974" spans="1:33" x14ac:dyDescent="0.35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 cm="1">
        <f t="array" ref="AG974">_xlfn.IFS(A974&lt;30,"Below 30",A974&lt;40,"30-39",A974&lt;50,"40-49",TRUE,"50+")</f>
        <v>Below 30</v>
      </c>
    </row>
    <row r="975" spans="1:33" x14ac:dyDescent="0.35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 cm="1">
        <f t="array" ref="AG975">_xlfn.IFS(A975&lt;30,"Below 30",A975&lt;40,"30-39",A975&lt;50,"40-49",TRUE,"50+")</f>
        <v>30-39</v>
      </c>
    </row>
    <row r="976" spans="1:33" x14ac:dyDescent="0.35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 cm="1">
        <f t="array" ref="AG976">_xlfn.IFS(A976&lt;30,"Below 30",A976&lt;40,"30-39",A976&lt;50,"40-49",TRUE,"50+")</f>
        <v>Below 30</v>
      </c>
    </row>
    <row r="977" spans="1:33" x14ac:dyDescent="0.35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 cm="1">
        <f t="array" ref="AG977">_xlfn.IFS(A977&lt;30,"Below 30",A977&lt;40,"30-39",A977&lt;50,"40-49",TRUE,"50+")</f>
        <v>50+</v>
      </c>
    </row>
    <row r="978" spans="1:33" x14ac:dyDescent="0.35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 cm="1">
        <f t="array" ref="AG978">_xlfn.IFS(A978&lt;30,"Below 30",A978&lt;40,"30-39",A978&lt;50,"40-49",TRUE,"50+")</f>
        <v>50+</v>
      </c>
    </row>
    <row r="979" spans="1:33" x14ac:dyDescent="0.35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 cm="1">
        <f t="array" ref="AG979">_xlfn.IFS(A979&lt;30,"Below 30",A979&lt;40,"30-39",A979&lt;50,"40-49",TRUE,"50+")</f>
        <v>30-39</v>
      </c>
    </row>
    <row r="980" spans="1:33" x14ac:dyDescent="0.35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 cm="1">
        <f t="array" ref="AG980">_xlfn.IFS(A980&lt;30,"Below 30",A980&lt;40,"30-39",A980&lt;50,"40-49",TRUE,"50+")</f>
        <v>40-49</v>
      </c>
    </row>
    <row r="981" spans="1:33" x14ac:dyDescent="0.35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 cm="1">
        <f t="array" ref="AG981">_xlfn.IFS(A981&lt;30,"Below 30",A981&lt;40,"30-39",A981&lt;50,"40-49",TRUE,"50+")</f>
        <v>30-39</v>
      </c>
    </row>
    <row r="982" spans="1:33" x14ac:dyDescent="0.35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 cm="1">
        <f t="array" ref="AG982">_xlfn.IFS(A982&lt;30,"Below 30",A982&lt;40,"30-39",A982&lt;50,"40-49",TRUE,"50+")</f>
        <v>30-39</v>
      </c>
    </row>
    <row r="983" spans="1:33" x14ac:dyDescent="0.35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 cm="1">
        <f t="array" ref="AG983">_xlfn.IFS(A983&lt;30,"Below 30",A983&lt;40,"30-39",A983&lt;50,"40-49",TRUE,"50+")</f>
        <v>30-39</v>
      </c>
    </row>
    <row r="984" spans="1:33" x14ac:dyDescent="0.35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 cm="1">
        <f t="array" ref="AG984">_xlfn.IFS(A984&lt;30,"Below 30",A984&lt;40,"30-39",A984&lt;50,"40-49",TRUE,"50+")</f>
        <v>30-39</v>
      </c>
    </row>
    <row r="985" spans="1:33" x14ac:dyDescent="0.35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 cm="1">
        <f t="array" ref="AG985">_xlfn.IFS(A985&lt;30,"Below 30",A985&lt;40,"30-39",A985&lt;50,"40-49",TRUE,"50+")</f>
        <v>30-39</v>
      </c>
    </row>
    <row r="986" spans="1:33" x14ac:dyDescent="0.35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 cm="1">
        <f t="array" ref="AG986">_xlfn.IFS(A986&lt;30,"Below 30",A986&lt;40,"30-39",A986&lt;50,"40-49",TRUE,"50+")</f>
        <v>Below 30</v>
      </c>
    </row>
    <row r="987" spans="1:33" x14ac:dyDescent="0.35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 cm="1">
        <f t="array" ref="AG987">_xlfn.IFS(A987&lt;30,"Below 30",A987&lt;40,"30-39",A987&lt;50,"40-49",TRUE,"50+")</f>
        <v>30-39</v>
      </c>
    </row>
    <row r="988" spans="1:33" x14ac:dyDescent="0.35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 cm="1">
        <f t="array" ref="AG988">_xlfn.IFS(A988&lt;30,"Below 30",A988&lt;40,"30-39",A988&lt;50,"40-49",TRUE,"50+")</f>
        <v>30-39</v>
      </c>
    </row>
    <row r="989" spans="1:33" x14ac:dyDescent="0.35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 cm="1">
        <f t="array" ref="AG989">_xlfn.IFS(A989&lt;30,"Below 30",A989&lt;40,"30-39",A989&lt;50,"40-49",TRUE,"50+")</f>
        <v>50+</v>
      </c>
    </row>
    <row r="990" spans="1:33" x14ac:dyDescent="0.35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 cm="1">
        <f t="array" ref="AG990">_xlfn.IFS(A990&lt;30,"Below 30",A990&lt;40,"30-39",A990&lt;50,"40-49",TRUE,"50+")</f>
        <v>40-49</v>
      </c>
    </row>
    <row r="991" spans="1:33" x14ac:dyDescent="0.35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 cm="1">
        <f t="array" ref="AG991">_xlfn.IFS(A991&lt;30,"Below 30",A991&lt;40,"30-39",A991&lt;50,"40-49",TRUE,"50+")</f>
        <v>30-39</v>
      </c>
    </row>
    <row r="992" spans="1:33" x14ac:dyDescent="0.35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 cm="1">
        <f t="array" ref="AG992">_xlfn.IFS(A992&lt;30,"Below 30",A992&lt;40,"30-39",A992&lt;50,"40-49",TRUE,"50+")</f>
        <v>30-39</v>
      </c>
    </row>
    <row r="993" spans="1:33" x14ac:dyDescent="0.35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 cm="1">
        <f t="array" ref="AG993">_xlfn.IFS(A993&lt;30,"Below 30",A993&lt;40,"30-39",A993&lt;50,"40-49",TRUE,"50+")</f>
        <v>30-39</v>
      </c>
    </row>
    <row r="994" spans="1:33" x14ac:dyDescent="0.35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 cm="1">
        <f t="array" ref="AG994">_xlfn.IFS(A994&lt;30,"Below 30",A994&lt;40,"30-39",A994&lt;50,"40-49",TRUE,"50+")</f>
        <v>30-39</v>
      </c>
    </row>
    <row r="995" spans="1:33" x14ac:dyDescent="0.35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 cm="1">
        <f t="array" ref="AG995">_xlfn.IFS(A995&lt;30,"Below 30",A995&lt;40,"30-39",A995&lt;50,"40-49",TRUE,"50+")</f>
        <v>Below 30</v>
      </c>
    </row>
    <row r="996" spans="1:33" x14ac:dyDescent="0.35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 cm="1">
        <f t="array" ref="AG996">_xlfn.IFS(A996&lt;30,"Below 30",A996&lt;40,"30-39",A996&lt;50,"40-49",TRUE,"50+")</f>
        <v>50+</v>
      </c>
    </row>
    <row r="997" spans="1:33" x14ac:dyDescent="0.35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 cm="1">
        <f t="array" ref="AG997">_xlfn.IFS(A997&lt;30,"Below 30",A997&lt;40,"30-39",A997&lt;50,"40-49",TRUE,"50+")</f>
        <v>40-49</v>
      </c>
    </row>
    <row r="998" spans="1:33" x14ac:dyDescent="0.35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 cm="1">
        <f t="array" ref="AG998">_xlfn.IFS(A998&lt;30,"Below 30",A998&lt;40,"30-39",A998&lt;50,"40-49",TRUE,"50+")</f>
        <v>Below 30</v>
      </c>
    </row>
    <row r="999" spans="1:33" x14ac:dyDescent="0.35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 cm="1">
        <f t="array" ref="AG999">_xlfn.IFS(A999&lt;30,"Below 30",A999&lt;40,"30-39",A999&lt;50,"40-49",TRUE,"50+")</f>
        <v>Below 30</v>
      </c>
    </row>
    <row r="1000" spans="1:33" x14ac:dyDescent="0.35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 cm="1">
        <f t="array" ref="AG1000">_xlfn.IFS(A1000&lt;30,"Below 30",A1000&lt;40,"30-39",A1000&lt;50,"40-49",TRUE,"50+")</f>
        <v>Below 30</v>
      </c>
    </row>
    <row r="1001" spans="1:33" x14ac:dyDescent="0.35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 cm="1">
        <f t="array" ref="AG1001">_xlfn.IFS(A1001&lt;30,"Below 30",A1001&lt;40,"30-39",A1001&lt;50,"40-49",TRUE,"50+")</f>
        <v>40-49</v>
      </c>
    </row>
    <row r="1002" spans="1:33" x14ac:dyDescent="0.35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 cm="1">
        <f t="array" ref="AG1002">_xlfn.IFS(A1002&lt;30,"Below 30",A1002&lt;40,"30-39",A1002&lt;50,"40-49",TRUE,"50+")</f>
        <v>50+</v>
      </c>
    </row>
    <row r="1003" spans="1:33" x14ac:dyDescent="0.35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 cm="1">
        <f t="array" ref="AG1003">_xlfn.IFS(A1003&lt;30,"Below 30",A1003&lt;40,"30-39",A1003&lt;50,"40-49",TRUE,"50+")</f>
        <v>30-39</v>
      </c>
    </row>
    <row r="1004" spans="1:33" x14ac:dyDescent="0.35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 cm="1">
        <f t="array" ref="AG1004">_xlfn.IFS(A1004&lt;30,"Below 30",A1004&lt;40,"30-39",A1004&lt;50,"40-49",TRUE,"50+")</f>
        <v>30-39</v>
      </c>
    </row>
    <row r="1005" spans="1:33" x14ac:dyDescent="0.35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 cm="1">
        <f t="array" ref="AG1005">_xlfn.IFS(A1005&lt;30,"Below 30",A1005&lt;40,"30-39",A1005&lt;50,"40-49",TRUE,"50+")</f>
        <v>Below 30</v>
      </c>
    </row>
    <row r="1006" spans="1:33" x14ac:dyDescent="0.35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 cm="1">
        <f t="array" ref="AG1006">_xlfn.IFS(A1006&lt;30,"Below 30",A1006&lt;40,"30-39",A1006&lt;50,"40-49",TRUE,"50+")</f>
        <v>Below 30</v>
      </c>
    </row>
    <row r="1007" spans="1:33" x14ac:dyDescent="0.35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 cm="1">
        <f t="array" ref="AG1007">_xlfn.IFS(A1007&lt;30,"Below 30",A1007&lt;40,"30-39",A1007&lt;50,"40-49",TRUE,"50+")</f>
        <v>Below 30</v>
      </c>
    </row>
    <row r="1008" spans="1:33" x14ac:dyDescent="0.35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 cm="1">
        <f t="array" ref="AG1008">_xlfn.IFS(A1008&lt;30,"Below 30",A1008&lt;40,"30-39",A1008&lt;50,"40-49",TRUE,"50+")</f>
        <v>40-49</v>
      </c>
    </row>
    <row r="1009" spans="1:33" x14ac:dyDescent="0.35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 cm="1">
        <f t="array" ref="AG1009">_xlfn.IFS(A1009&lt;30,"Below 30",A1009&lt;40,"30-39",A1009&lt;50,"40-49",TRUE,"50+")</f>
        <v>Below 30</v>
      </c>
    </row>
    <row r="1010" spans="1:33" x14ac:dyDescent="0.35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 cm="1">
        <f t="array" ref="AG1010">_xlfn.IFS(A1010&lt;30,"Below 30",A1010&lt;40,"30-39",A1010&lt;50,"40-49",TRUE,"50+")</f>
        <v>50+</v>
      </c>
    </row>
    <row r="1011" spans="1:33" x14ac:dyDescent="0.35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 cm="1">
        <f t="array" ref="AG1011">_xlfn.IFS(A1011&lt;30,"Below 30",A1011&lt;40,"30-39",A1011&lt;50,"40-49",TRUE,"50+")</f>
        <v>50+</v>
      </c>
    </row>
    <row r="1012" spans="1:33" x14ac:dyDescent="0.35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 cm="1">
        <f t="array" ref="AG1012">_xlfn.IFS(A1012&lt;30,"Below 30",A1012&lt;40,"30-39",A1012&lt;50,"40-49",TRUE,"50+")</f>
        <v>50+</v>
      </c>
    </row>
    <row r="1013" spans="1:33" x14ac:dyDescent="0.35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 cm="1">
        <f t="array" ref="AG1013">_xlfn.IFS(A1013&lt;30,"Below 30",A1013&lt;40,"30-39",A1013&lt;50,"40-49",TRUE,"50+")</f>
        <v>30-39</v>
      </c>
    </row>
    <row r="1014" spans="1:33" x14ac:dyDescent="0.35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 cm="1">
        <f t="array" ref="AG1014">_xlfn.IFS(A1014&lt;30,"Below 30",A1014&lt;40,"30-39",A1014&lt;50,"40-49",TRUE,"50+")</f>
        <v>30-39</v>
      </c>
    </row>
    <row r="1015" spans="1:33" x14ac:dyDescent="0.35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 cm="1">
        <f t="array" ref="AG1015">_xlfn.IFS(A1015&lt;30,"Below 30",A1015&lt;40,"30-39",A1015&lt;50,"40-49",TRUE,"50+")</f>
        <v>30-39</v>
      </c>
    </row>
    <row r="1016" spans="1:33" x14ac:dyDescent="0.35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 cm="1">
        <f t="array" ref="AG1016">_xlfn.IFS(A1016&lt;30,"Below 30",A1016&lt;40,"30-39",A1016&lt;50,"40-49",TRUE,"50+")</f>
        <v>30-39</v>
      </c>
    </row>
    <row r="1017" spans="1:33" x14ac:dyDescent="0.35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 cm="1">
        <f t="array" ref="AG1017">_xlfn.IFS(A1017&lt;30,"Below 30",A1017&lt;40,"30-39",A1017&lt;50,"40-49",TRUE,"50+")</f>
        <v>30-39</v>
      </c>
    </row>
    <row r="1018" spans="1:33" x14ac:dyDescent="0.35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 cm="1">
        <f t="array" ref="AG1018">_xlfn.IFS(A1018&lt;30,"Below 30",A1018&lt;40,"30-39",A1018&lt;50,"40-49",TRUE,"50+")</f>
        <v>30-39</v>
      </c>
    </row>
    <row r="1019" spans="1:33" x14ac:dyDescent="0.35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 cm="1">
        <f t="array" ref="AG1019">_xlfn.IFS(A1019&lt;30,"Below 30",A1019&lt;40,"30-39",A1019&lt;50,"40-49",TRUE,"50+")</f>
        <v>Below 30</v>
      </c>
    </row>
    <row r="1020" spans="1:33" x14ac:dyDescent="0.35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 cm="1">
        <f t="array" ref="AG1020">_xlfn.IFS(A1020&lt;30,"Below 30",A1020&lt;40,"30-39",A1020&lt;50,"40-49",TRUE,"50+")</f>
        <v>30-39</v>
      </c>
    </row>
    <row r="1021" spans="1:33" x14ac:dyDescent="0.35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 cm="1">
        <f t="array" ref="AG1021">_xlfn.IFS(A1021&lt;30,"Below 30",A1021&lt;40,"30-39",A1021&lt;50,"40-49",TRUE,"50+")</f>
        <v>30-39</v>
      </c>
    </row>
    <row r="1022" spans="1:33" x14ac:dyDescent="0.35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 cm="1">
        <f t="array" ref="AG1022">_xlfn.IFS(A1022&lt;30,"Below 30",A1022&lt;40,"30-39",A1022&lt;50,"40-49",TRUE,"50+")</f>
        <v>40-49</v>
      </c>
    </row>
    <row r="1023" spans="1:33" x14ac:dyDescent="0.35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 cm="1">
        <f t="array" ref="AG1023">_xlfn.IFS(A1023&lt;30,"Below 30",A1023&lt;40,"30-39",A1023&lt;50,"40-49",TRUE,"50+")</f>
        <v>Below 30</v>
      </c>
    </row>
    <row r="1024" spans="1:33" x14ac:dyDescent="0.35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 cm="1">
        <f t="array" ref="AG1024">_xlfn.IFS(A1024&lt;30,"Below 30",A1024&lt;40,"30-39",A1024&lt;50,"40-49",TRUE,"50+")</f>
        <v>30-39</v>
      </c>
    </row>
    <row r="1025" spans="1:33" x14ac:dyDescent="0.35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 cm="1">
        <f t="array" ref="AG1025">_xlfn.IFS(A1025&lt;30,"Below 30",A1025&lt;40,"30-39",A1025&lt;50,"40-49",TRUE,"50+")</f>
        <v>50+</v>
      </c>
    </row>
    <row r="1026" spans="1:33" x14ac:dyDescent="0.35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 cm="1">
        <f t="array" ref="AG1026">_xlfn.IFS(A1026&lt;30,"Below 30",A1026&lt;40,"30-39",A1026&lt;50,"40-49",TRUE,"50+")</f>
        <v>40-49</v>
      </c>
    </row>
    <row r="1027" spans="1:33" x14ac:dyDescent="0.35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 cm="1">
        <f t="array" ref="AG1027">_xlfn.IFS(A1027&lt;30,"Below 30",A1027&lt;40,"30-39",A1027&lt;50,"40-49",TRUE,"50+")</f>
        <v>Below 30</v>
      </c>
    </row>
    <row r="1028" spans="1:33" x14ac:dyDescent="0.35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 cm="1">
        <f t="array" ref="AG1028">_xlfn.IFS(A1028&lt;30,"Below 30",A1028&lt;40,"30-39",A1028&lt;50,"40-49",TRUE,"50+")</f>
        <v>30-39</v>
      </c>
    </row>
    <row r="1029" spans="1:33" x14ac:dyDescent="0.35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 cm="1">
        <f t="array" ref="AG1029">_xlfn.IFS(A1029&lt;30,"Below 30",A1029&lt;40,"30-39",A1029&lt;50,"40-49",TRUE,"50+")</f>
        <v>30-39</v>
      </c>
    </row>
    <row r="1030" spans="1:33" x14ac:dyDescent="0.35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 cm="1">
        <f t="array" ref="AG1030">_xlfn.IFS(A1030&lt;30,"Below 30",A1030&lt;40,"30-39",A1030&lt;50,"40-49",TRUE,"50+")</f>
        <v>40-49</v>
      </c>
    </row>
    <row r="1031" spans="1:33" x14ac:dyDescent="0.35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 cm="1">
        <f t="array" ref="AG1031">_xlfn.IFS(A1031&lt;30,"Below 30",A1031&lt;40,"30-39",A1031&lt;50,"40-49",TRUE,"50+")</f>
        <v>40-49</v>
      </c>
    </row>
    <row r="1032" spans="1:33" x14ac:dyDescent="0.35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 cm="1">
        <f t="array" ref="AG1032">_xlfn.IFS(A1032&lt;30,"Below 30",A1032&lt;40,"30-39",A1032&lt;50,"40-49",TRUE,"50+")</f>
        <v>30-39</v>
      </c>
    </row>
    <row r="1033" spans="1:33" x14ac:dyDescent="0.35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 cm="1">
        <f t="array" ref="AG1033">_xlfn.IFS(A1033&lt;30,"Below 30",A1033&lt;40,"30-39",A1033&lt;50,"40-49",TRUE,"50+")</f>
        <v>40-49</v>
      </c>
    </row>
    <row r="1034" spans="1:33" x14ac:dyDescent="0.35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 cm="1">
        <f t="array" ref="AG1034">_xlfn.IFS(A1034&lt;30,"Below 30",A1034&lt;40,"30-39",A1034&lt;50,"40-49",TRUE,"50+")</f>
        <v>30-39</v>
      </c>
    </row>
    <row r="1035" spans="1:33" x14ac:dyDescent="0.35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 cm="1">
        <f t="array" ref="AG1035">_xlfn.IFS(A1035&lt;30,"Below 30",A1035&lt;40,"30-39",A1035&lt;50,"40-49",TRUE,"50+")</f>
        <v>30-39</v>
      </c>
    </row>
    <row r="1036" spans="1:33" x14ac:dyDescent="0.35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 cm="1">
        <f t="array" ref="AG1036">_xlfn.IFS(A1036&lt;30,"Below 30",A1036&lt;40,"30-39",A1036&lt;50,"40-49",TRUE,"50+")</f>
        <v>40-49</v>
      </c>
    </row>
    <row r="1037" spans="1:33" x14ac:dyDescent="0.35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 cm="1">
        <f t="array" ref="AG1037">_xlfn.IFS(A1037&lt;30,"Below 30",A1037&lt;40,"30-39",A1037&lt;50,"40-49",TRUE,"50+")</f>
        <v>30-39</v>
      </c>
    </row>
    <row r="1038" spans="1:33" x14ac:dyDescent="0.35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 cm="1">
        <f t="array" ref="AG1038">_xlfn.IFS(A1038&lt;30,"Below 30",A1038&lt;40,"30-39",A1038&lt;50,"40-49",TRUE,"50+")</f>
        <v>30-39</v>
      </c>
    </row>
    <row r="1039" spans="1:33" x14ac:dyDescent="0.35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 cm="1">
        <f t="array" ref="AG1039">_xlfn.IFS(A1039&lt;30,"Below 30",A1039&lt;40,"30-39",A1039&lt;50,"40-49",TRUE,"50+")</f>
        <v>40-49</v>
      </c>
    </row>
    <row r="1040" spans="1:33" x14ac:dyDescent="0.35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 cm="1">
        <f t="array" ref="AG1040">_xlfn.IFS(A1040&lt;30,"Below 30",A1040&lt;40,"30-39",A1040&lt;50,"40-49",TRUE,"50+")</f>
        <v>40-49</v>
      </c>
    </row>
    <row r="1041" spans="1:33" x14ac:dyDescent="0.35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 cm="1">
        <f t="array" ref="AG1041">_xlfn.IFS(A1041&lt;30,"Below 30",A1041&lt;40,"30-39",A1041&lt;50,"40-49",TRUE,"50+")</f>
        <v>30-39</v>
      </c>
    </row>
    <row r="1042" spans="1:33" x14ac:dyDescent="0.35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 cm="1">
        <f t="array" ref="AG1042">_xlfn.IFS(A1042&lt;30,"Below 30",A1042&lt;40,"30-39",A1042&lt;50,"40-49",TRUE,"50+")</f>
        <v>40-49</v>
      </c>
    </row>
    <row r="1043" spans="1:33" x14ac:dyDescent="0.35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 cm="1">
        <f t="array" ref="AG1043">_xlfn.IFS(A1043&lt;30,"Below 30",A1043&lt;40,"30-39",A1043&lt;50,"40-49",TRUE,"50+")</f>
        <v>Below 30</v>
      </c>
    </row>
    <row r="1044" spans="1:33" x14ac:dyDescent="0.35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 cm="1">
        <f t="array" ref="AG1044">_xlfn.IFS(A1044&lt;30,"Below 30",A1044&lt;40,"30-39",A1044&lt;50,"40-49",TRUE,"50+")</f>
        <v>40-49</v>
      </c>
    </row>
    <row r="1045" spans="1:33" x14ac:dyDescent="0.35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 cm="1">
        <f t="array" ref="AG1045">_xlfn.IFS(A1045&lt;30,"Below 30",A1045&lt;40,"30-39",A1045&lt;50,"40-49",TRUE,"50+")</f>
        <v>50+</v>
      </c>
    </row>
    <row r="1046" spans="1:33" x14ac:dyDescent="0.35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 cm="1">
        <f t="array" ref="AG1046">_xlfn.IFS(A1046&lt;30,"Below 30",A1046&lt;40,"30-39",A1046&lt;50,"40-49",TRUE,"50+")</f>
        <v>40-49</v>
      </c>
    </row>
    <row r="1047" spans="1:33" x14ac:dyDescent="0.35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 cm="1">
        <f t="array" ref="AG1047">_xlfn.IFS(A1047&lt;30,"Below 30",A1047&lt;40,"30-39",A1047&lt;50,"40-49",TRUE,"50+")</f>
        <v>40-49</v>
      </c>
    </row>
    <row r="1048" spans="1:33" x14ac:dyDescent="0.35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 cm="1">
        <f t="array" ref="AG1048">_xlfn.IFS(A1048&lt;30,"Below 30",A1048&lt;40,"30-39",A1048&lt;50,"40-49",TRUE,"50+")</f>
        <v>40-49</v>
      </c>
    </row>
    <row r="1049" spans="1:33" x14ac:dyDescent="0.35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 cm="1">
        <f t="array" ref="AG1049">_xlfn.IFS(A1049&lt;30,"Below 30",A1049&lt;40,"30-39",A1049&lt;50,"40-49",TRUE,"50+")</f>
        <v>30-39</v>
      </c>
    </row>
    <row r="1050" spans="1:33" x14ac:dyDescent="0.35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 cm="1">
        <f t="array" ref="AG1050">_xlfn.IFS(A1050&lt;30,"Below 30",A1050&lt;40,"30-39",A1050&lt;50,"40-49",TRUE,"50+")</f>
        <v>30-39</v>
      </c>
    </row>
    <row r="1051" spans="1:33" x14ac:dyDescent="0.35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 cm="1">
        <f t="array" ref="AG1051">_xlfn.IFS(A1051&lt;30,"Below 30",A1051&lt;40,"30-39",A1051&lt;50,"40-49",TRUE,"50+")</f>
        <v>30-39</v>
      </c>
    </row>
    <row r="1052" spans="1:33" x14ac:dyDescent="0.35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 cm="1">
        <f t="array" ref="AG1052">_xlfn.IFS(A1052&lt;30,"Below 30",A1052&lt;40,"30-39",A1052&lt;50,"40-49",TRUE,"50+")</f>
        <v>40-49</v>
      </c>
    </row>
    <row r="1053" spans="1:33" x14ac:dyDescent="0.35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 cm="1">
        <f t="array" ref="AG1053">_xlfn.IFS(A1053&lt;30,"Below 30",A1053&lt;40,"30-39",A1053&lt;50,"40-49",TRUE,"50+")</f>
        <v>40-49</v>
      </c>
    </row>
    <row r="1054" spans="1:33" x14ac:dyDescent="0.35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 cm="1">
        <f t="array" ref="AG1054">_xlfn.IFS(A1054&lt;30,"Below 30",A1054&lt;40,"30-39",A1054&lt;50,"40-49",TRUE,"50+")</f>
        <v>30-39</v>
      </c>
    </row>
    <row r="1055" spans="1:33" x14ac:dyDescent="0.35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 cm="1">
        <f t="array" ref="AG1055">_xlfn.IFS(A1055&lt;30,"Below 30",A1055&lt;40,"30-39",A1055&lt;50,"40-49",TRUE,"50+")</f>
        <v>50+</v>
      </c>
    </row>
    <row r="1056" spans="1:33" x14ac:dyDescent="0.35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 cm="1">
        <f t="array" ref="AG1056">_xlfn.IFS(A1056&lt;30,"Below 30",A1056&lt;40,"30-39",A1056&lt;50,"40-49",TRUE,"50+")</f>
        <v>40-49</v>
      </c>
    </row>
    <row r="1057" spans="1:33" x14ac:dyDescent="0.35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 cm="1">
        <f t="array" ref="AG1057">_xlfn.IFS(A1057&lt;30,"Below 30",A1057&lt;40,"30-39",A1057&lt;50,"40-49",TRUE,"50+")</f>
        <v>30-39</v>
      </c>
    </row>
    <row r="1058" spans="1:33" x14ac:dyDescent="0.35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 cm="1">
        <f t="array" ref="AG1058">_xlfn.IFS(A1058&lt;30,"Below 30",A1058&lt;40,"30-39",A1058&lt;50,"40-49",TRUE,"50+")</f>
        <v>Below 30</v>
      </c>
    </row>
    <row r="1059" spans="1:33" x14ac:dyDescent="0.35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 cm="1">
        <f t="array" ref="AG1059">_xlfn.IFS(A1059&lt;30,"Below 30",A1059&lt;40,"30-39",A1059&lt;50,"40-49",TRUE,"50+")</f>
        <v>Below 30</v>
      </c>
    </row>
    <row r="1060" spans="1:33" x14ac:dyDescent="0.35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 cm="1">
        <f t="array" ref="AG1060">_xlfn.IFS(A1060&lt;30,"Below 30",A1060&lt;40,"30-39",A1060&lt;50,"40-49",TRUE,"50+")</f>
        <v>30-39</v>
      </c>
    </row>
    <row r="1061" spans="1:33" x14ac:dyDescent="0.35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 cm="1">
        <f t="array" ref="AG1061">_xlfn.IFS(A1061&lt;30,"Below 30",A1061&lt;40,"30-39",A1061&lt;50,"40-49",TRUE,"50+")</f>
        <v>30-39</v>
      </c>
    </row>
    <row r="1062" spans="1:33" x14ac:dyDescent="0.35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 cm="1">
        <f t="array" ref="AG1062">_xlfn.IFS(A1062&lt;30,"Below 30",A1062&lt;40,"30-39",A1062&lt;50,"40-49",TRUE,"50+")</f>
        <v>Below 30</v>
      </c>
    </row>
    <row r="1063" spans="1:33" x14ac:dyDescent="0.35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 cm="1">
        <f t="array" ref="AG1063">_xlfn.IFS(A1063&lt;30,"Below 30",A1063&lt;40,"30-39",A1063&lt;50,"40-49",TRUE,"50+")</f>
        <v>Below 30</v>
      </c>
    </row>
    <row r="1064" spans="1:33" x14ac:dyDescent="0.35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 cm="1">
        <f t="array" ref="AG1064">_xlfn.IFS(A1064&lt;30,"Below 30",A1064&lt;40,"30-39",A1064&lt;50,"40-49",TRUE,"50+")</f>
        <v>40-49</v>
      </c>
    </row>
    <row r="1065" spans="1:33" x14ac:dyDescent="0.35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 cm="1">
        <f t="array" ref="AG1065">_xlfn.IFS(A1065&lt;30,"Below 30",A1065&lt;40,"30-39",A1065&lt;50,"40-49",TRUE,"50+")</f>
        <v>Below 30</v>
      </c>
    </row>
    <row r="1066" spans="1:33" x14ac:dyDescent="0.35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 cm="1">
        <f t="array" ref="AG1066">_xlfn.IFS(A1066&lt;30,"Below 30",A1066&lt;40,"30-39",A1066&lt;50,"40-49",TRUE,"50+")</f>
        <v>30-39</v>
      </c>
    </row>
    <row r="1067" spans="1:33" x14ac:dyDescent="0.35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 cm="1">
        <f t="array" ref="AG1067">_xlfn.IFS(A1067&lt;30,"Below 30",A1067&lt;40,"30-39",A1067&lt;50,"40-49",TRUE,"50+")</f>
        <v>50+</v>
      </c>
    </row>
    <row r="1068" spans="1:33" x14ac:dyDescent="0.35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 cm="1">
        <f t="array" ref="AG1068">_xlfn.IFS(A1068&lt;30,"Below 30",A1068&lt;40,"30-39",A1068&lt;50,"40-49",TRUE,"50+")</f>
        <v>30-39</v>
      </c>
    </row>
    <row r="1069" spans="1:33" x14ac:dyDescent="0.35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 cm="1">
        <f t="array" ref="AG1069">_xlfn.IFS(A1069&lt;30,"Below 30",A1069&lt;40,"30-39",A1069&lt;50,"40-49",TRUE,"50+")</f>
        <v>40-49</v>
      </c>
    </row>
    <row r="1070" spans="1:33" x14ac:dyDescent="0.35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 cm="1">
        <f t="array" ref="AG1070">_xlfn.IFS(A1070&lt;30,"Below 30",A1070&lt;40,"30-39",A1070&lt;50,"40-49",TRUE,"50+")</f>
        <v>Below 30</v>
      </c>
    </row>
    <row r="1071" spans="1:33" x14ac:dyDescent="0.35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 cm="1">
        <f t="array" ref="AG1071">_xlfn.IFS(A1071&lt;30,"Below 30",A1071&lt;40,"30-39",A1071&lt;50,"40-49",TRUE,"50+")</f>
        <v>Below 30</v>
      </c>
    </row>
    <row r="1072" spans="1:33" x14ac:dyDescent="0.35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 cm="1">
        <f t="array" ref="AG1072">_xlfn.IFS(A1072&lt;30,"Below 30",A1072&lt;40,"30-39",A1072&lt;50,"40-49",TRUE,"50+")</f>
        <v>Below 30</v>
      </c>
    </row>
    <row r="1073" spans="1:33" x14ac:dyDescent="0.35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 cm="1">
        <f t="array" ref="AG1073">_xlfn.IFS(A1073&lt;30,"Below 30",A1073&lt;40,"30-39",A1073&lt;50,"40-49",TRUE,"50+")</f>
        <v>40-49</v>
      </c>
    </row>
    <row r="1074" spans="1:33" x14ac:dyDescent="0.35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 cm="1">
        <f t="array" ref="AG1074">_xlfn.IFS(A1074&lt;30,"Below 30",A1074&lt;40,"30-39",A1074&lt;50,"40-49",TRUE,"50+")</f>
        <v>Below 30</v>
      </c>
    </row>
    <row r="1075" spans="1:33" x14ac:dyDescent="0.35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 cm="1">
        <f t="array" ref="AG1075">_xlfn.IFS(A1075&lt;30,"Below 30",A1075&lt;40,"30-39",A1075&lt;50,"40-49",TRUE,"50+")</f>
        <v>Below 30</v>
      </c>
    </row>
    <row r="1076" spans="1:33" x14ac:dyDescent="0.35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 cm="1">
        <f t="array" ref="AG1076">_xlfn.IFS(A1076&lt;30,"Below 30",A1076&lt;40,"30-39",A1076&lt;50,"40-49",TRUE,"50+")</f>
        <v>30-39</v>
      </c>
    </row>
    <row r="1077" spans="1:33" x14ac:dyDescent="0.35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 cm="1">
        <f t="array" ref="AG1077">_xlfn.IFS(A1077&lt;30,"Below 30",A1077&lt;40,"30-39",A1077&lt;50,"40-49",TRUE,"50+")</f>
        <v>30-39</v>
      </c>
    </row>
    <row r="1078" spans="1:33" x14ac:dyDescent="0.35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 cm="1">
        <f t="array" ref="AG1078">_xlfn.IFS(A1078&lt;30,"Below 30",A1078&lt;40,"30-39",A1078&lt;50,"40-49",TRUE,"50+")</f>
        <v>50+</v>
      </c>
    </row>
    <row r="1079" spans="1:33" x14ac:dyDescent="0.35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 cm="1">
        <f t="array" ref="AG1079">_xlfn.IFS(A1079&lt;30,"Below 30",A1079&lt;40,"30-39",A1079&lt;50,"40-49",TRUE,"50+")</f>
        <v>Below 30</v>
      </c>
    </row>
    <row r="1080" spans="1:33" x14ac:dyDescent="0.35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 cm="1">
        <f t="array" ref="AG1080">_xlfn.IFS(A1080&lt;30,"Below 30",A1080&lt;40,"30-39",A1080&lt;50,"40-49",TRUE,"50+")</f>
        <v>40-49</v>
      </c>
    </row>
    <row r="1081" spans="1:33" x14ac:dyDescent="0.35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 cm="1">
        <f t="array" ref="AG1081">_xlfn.IFS(A1081&lt;30,"Below 30",A1081&lt;40,"30-39",A1081&lt;50,"40-49",TRUE,"50+")</f>
        <v>30-39</v>
      </c>
    </row>
    <row r="1082" spans="1:33" x14ac:dyDescent="0.35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 cm="1">
        <f t="array" ref="AG1082">_xlfn.IFS(A1082&lt;30,"Below 30",A1082&lt;40,"30-39",A1082&lt;50,"40-49",TRUE,"50+")</f>
        <v>40-49</v>
      </c>
    </row>
    <row r="1083" spans="1:33" x14ac:dyDescent="0.35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 cm="1">
        <f t="array" ref="AG1083">_xlfn.IFS(A1083&lt;30,"Below 30",A1083&lt;40,"30-39",A1083&lt;50,"40-49",TRUE,"50+")</f>
        <v>30-39</v>
      </c>
    </row>
    <row r="1084" spans="1:33" x14ac:dyDescent="0.35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 cm="1">
        <f t="array" ref="AG1084">_xlfn.IFS(A1084&lt;30,"Below 30",A1084&lt;40,"30-39",A1084&lt;50,"40-49",TRUE,"50+")</f>
        <v>Below 30</v>
      </c>
    </row>
    <row r="1085" spans="1:33" x14ac:dyDescent="0.35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 cm="1">
        <f t="array" ref="AG1085">_xlfn.IFS(A1085&lt;30,"Below 30",A1085&lt;40,"30-39",A1085&lt;50,"40-49",TRUE,"50+")</f>
        <v>40-49</v>
      </c>
    </row>
    <row r="1086" spans="1:33" x14ac:dyDescent="0.35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 cm="1">
        <f t="array" ref="AG1086">_xlfn.IFS(A1086&lt;30,"Below 30",A1086&lt;40,"30-39",A1086&lt;50,"40-49",TRUE,"50+")</f>
        <v>30-39</v>
      </c>
    </row>
    <row r="1087" spans="1:33" x14ac:dyDescent="0.35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 cm="1">
        <f t="array" ref="AG1087">_xlfn.IFS(A1087&lt;30,"Below 30",A1087&lt;40,"30-39",A1087&lt;50,"40-49",TRUE,"50+")</f>
        <v>30-39</v>
      </c>
    </row>
    <row r="1088" spans="1:33" x14ac:dyDescent="0.35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 cm="1">
        <f t="array" ref="AG1088">_xlfn.IFS(A1088&lt;30,"Below 30",A1088&lt;40,"30-39",A1088&lt;50,"40-49",TRUE,"50+")</f>
        <v>50+</v>
      </c>
    </row>
    <row r="1089" spans="1:33" x14ac:dyDescent="0.35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 cm="1">
        <f t="array" ref="AG1089">_xlfn.IFS(A1089&lt;30,"Below 30",A1089&lt;40,"30-39",A1089&lt;50,"40-49",TRUE,"50+")</f>
        <v>30-39</v>
      </c>
    </row>
    <row r="1090" spans="1:33" x14ac:dyDescent="0.35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 cm="1">
        <f t="array" ref="AG1090">_xlfn.IFS(A1090&lt;30,"Below 30",A1090&lt;40,"30-39",A1090&lt;50,"40-49",TRUE,"50+")</f>
        <v>40-49</v>
      </c>
    </row>
    <row r="1091" spans="1:33" x14ac:dyDescent="0.35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 cm="1">
        <f t="array" ref="AG1091">_xlfn.IFS(A1091&lt;30,"Below 30",A1091&lt;40,"30-39",A1091&lt;50,"40-49",TRUE,"50+")</f>
        <v>30-39</v>
      </c>
    </row>
    <row r="1092" spans="1:33" x14ac:dyDescent="0.35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 cm="1">
        <f t="array" ref="AG1092">_xlfn.IFS(A1092&lt;30,"Below 30",A1092&lt;40,"30-39",A1092&lt;50,"40-49",TRUE,"50+")</f>
        <v>Below 30</v>
      </c>
    </row>
    <row r="1093" spans="1:33" x14ac:dyDescent="0.35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 cm="1">
        <f t="array" ref="AG1093">_xlfn.IFS(A1093&lt;30,"Below 30",A1093&lt;40,"30-39",A1093&lt;50,"40-49",TRUE,"50+")</f>
        <v>30-39</v>
      </c>
    </row>
    <row r="1094" spans="1:33" x14ac:dyDescent="0.35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 cm="1">
        <f t="array" ref="AG1094">_xlfn.IFS(A1094&lt;30,"Below 30",A1094&lt;40,"30-39",A1094&lt;50,"40-49",TRUE,"50+")</f>
        <v>40-49</v>
      </c>
    </row>
    <row r="1095" spans="1:33" x14ac:dyDescent="0.35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 cm="1">
        <f t="array" ref="AG1095">_xlfn.IFS(A1095&lt;30,"Below 30",A1095&lt;40,"30-39",A1095&lt;50,"40-49",TRUE,"50+")</f>
        <v>40-49</v>
      </c>
    </row>
    <row r="1096" spans="1:33" x14ac:dyDescent="0.35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 cm="1">
        <f t="array" ref="AG1096">_xlfn.IFS(A1096&lt;30,"Below 30",A1096&lt;40,"30-39",A1096&lt;50,"40-49",TRUE,"50+")</f>
        <v>40-49</v>
      </c>
    </row>
    <row r="1097" spans="1:33" x14ac:dyDescent="0.35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 cm="1">
        <f t="array" ref="AG1097">_xlfn.IFS(A1097&lt;30,"Below 30",A1097&lt;40,"30-39",A1097&lt;50,"40-49",TRUE,"50+")</f>
        <v>30-39</v>
      </c>
    </row>
    <row r="1098" spans="1:33" x14ac:dyDescent="0.35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 cm="1">
        <f t="array" ref="AG1098">_xlfn.IFS(A1098&lt;30,"Below 30",A1098&lt;40,"30-39",A1098&lt;50,"40-49",TRUE,"50+")</f>
        <v>40-49</v>
      </c>
    </row>
    <row r="1099" spans="1:33" x14ac:dyDescent="0.35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 cm="1">
        <f t="array" ref="AG1099">_xlfn.IFS(A1099&lt;30,"Below 30",A1099&lt;40,"30-39",A1099&lt;50,"40-49",TRUE,"50+")</f>
        <v>Below 30</v>
      </c>
    </row>
    <row r="1100" spans="1:33" x14ac:dyDescent="0.35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 cm="1">
        <f t="array" ref="AG1100">_xlfn.IFS(A1100&lt;30,"Below 30",A1100&lt;40,"30-39",A1100&lt;50,"40-49",TRUE,"50+")</f>
        <v>40-49</v>
      </c>
    </row>
    <row r="1101" spans="1:33" x14ac:dyDescent="0.35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 cm="1">
        <f t="array" ref="AG1101">_xlfn.IFS(A1101&lt;30,"Below 30",A1101&lt;40,"30-39",A1101&lt;50,"40-49",TRUE,"50+")</f>
        <v>40-49</v>
      </c>
    </row>
    <row r="1102" spans="1:33" x14ac:dyDescent="0.35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 cm="1">
        <f t="array" ref="AG1102">_xlfn.IFS(A1102&lt;30,"Below 30",A1102&lt;40,"30-39",A1102&lt;50,"40-49",TRUE,"50+")</f>
        <v>30-39</v>
      </c>
    </row>
    <row r="1103" spans="1:33" x14ac:dyDescent="0.35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 cm="1">
        <f t="array" ref="AG1103">_xlfn.IFS(A1103&lt;30,"Below 30",A1103&lt;40,"30-39",A1103&lt;50,"40-49",TRUE,"50+")</f>
        <v>30-39</v>
      </c>
    </row>
    <row r="1104" spans="1:33" x14ac:dyDescent="0.35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 cm="1">
        <f t="array" ref="AG1104">_xlfn.IFS(A1104&lt;30,"Below 30",A1104&lt;40,"30-39",A1104&lt;50,"40-49",TRUE,"50+")</f>
        <v>30-39</v>
      </c>
    </row>
    <row r="1105" spans="1:33" x14ac:dyDescent="0.35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 cm="1">
        <f t="array" ref="AG1105">_xlfn.IFS(A1105&lt;30,"Below 30",A1105&lt;40,"30-39",A1105&lt;50,"40-49",TRUE,"50+")</f>
        <v>40-49</v>
      </c>
    </row>
    <row r="1106" spans="1:33" x14ac:dyDescent="0.35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 cm="1">
        <f t="array" ref="AG1106">_xlfn.IFS(A1106&lt;30,"Below 30",A1106&lt;40,"30-39",A1106&lt;50,"40-49",TRUE,"50+")</f>
        <v>Below 30</v>
      </c>
    </row>
    <row r="1107" spans="1:33" x14ac:dyDescent="0.35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 cm="1">
        <f t="array" ref="AG1107">_xlfn.IFS(A1107&lt;30,"Below 30",A1107&lt;40,"30-39",A1107&lt;50,"40-49",TRUE,"50+")</f>
        <v>30-39</v>
      </c>
    </row>
    <row r="1108" spans="1:33" x14ac:dyDescent="0.35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 cm="1">
        <f t="array" ref="AG1108">_xlfn.IFS(A1108&lt;30,"Below 30",A1108&lt;40,"30-39",A1108&lt;50,"40-49",TRUE,"50+")</f>
        <v>30-39</v>
      </c>
    </row>
    <row r="1109" spans="1:33" x14ac:dyDescent="0.35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 cm="1">
        <f t="array" ref="AG1109">_xlfn.IFS(A1109&lt;30,"Below 30",A1109&lt;40,"30-39",A1109&lt;50,"40-49",TRUE,"50+")</f>
        <v>30-39</v>
      </c>
    </row>
    <row r="1110" spans="1:33" x14ac:dyDescent="0.35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 cm="1">
        <f t="array" ref="AG1110">_xlfn.IFS(A1110&lt;30,"Below 30",A1110&lt;40,"30-39",A1110&lt;50,"40-49",TRUE,"50+")</f>
        <v>30-39</v>
      </c>
    </row>
    <row r="1111" spans="1:33" x14ac:dyDescent="0.35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 cm="1">
        <f t="array" ref="AG1111">_xlfn.IFS(A1111&lt;30,"Below 30",A1111&lt;40,"30-39",A1111&lt;50,"40-49",TRUE,"50+")</f>
        <v>30-39</v>
      </c>
    </row>
    <row r="1112" spans="1:33" x14ac:dyDescent="0.35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 cm="1">
        <f t="array" ref="AG1112">_xlfn.IFS(A1112&lt;30,"Below 30",A1112&lt;40,"30-39",A1112&lt;50,"40-49",TRUE,"50+")</f>
        <v>30-39</v>
      </c>
    </row>
    <row r="1113" spans="1:33" x14ac:dyDescent="0.35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 cm="1">
        <f t="array" ref="AG1113">_xlfn.IFS(A1113&lt;30,"Below 30",A1113&lt;40,"30-39",A1113&lt;50,"40-49",TRUE,"50+")</f>
        <v>50+</v>
      </c>
    </row>
    <row r="1114" spans="1:33" x14ac:dyDescent="0.35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 cm="1">
        <f t="array" ref="AG1114">_xlfn.IFS(A1114&lt;30,"Below 30",A1114&lt;40,"30-39",A1114&lt;50,"40-49",TRUE,"50+")</f>
        <v>30-39</v>
      </c>
    </row>
    <row r="1115" spans="1:33" x14ac:dyDescent="0.35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 cm="1">
        <f t="array" ref="AG1115">_xlfn.IFS(A1115&lt;30,"Below 30",A1115&lt;40,"30-39",A1115&lt;50,"40-49",TRUE,"50+")</f>
        <v>30-39</v>
      </c>
    </row>
    <row r="1116" spans="1:33" x14ac:dyDescent="0.35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 cm="1">
        <f t="array" ref="AG1116">_xlfn.IFS(A1116&lt;30,"Below 30",A1116&lt;40,"30-39",A1116&lt;50,"40-49",TRUE,"50+")</f>
        <v>40-49</v>
      </c>
    </row>
    <row r="1117" spans="1:33" x14ac:dyDescent="0.35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 cm="1">
        <f t="array" ref="AG1117">_xlfn.IFS(A1117&lt;30,"Below 30",A1117&lt;40,"30-39",A1117&lt;50,"40-49",TRUE,"50+")</f>
        <v>30-39</v>
      </c>
    </row>
    <row r="1118" spans="1:33" x14ac:dyDescent="0.35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 cm="1">
        <f t="array" ref="AG1118">_xlfn.IFS(A1118&lt;30,"Below 30",A1118&lt;40,"30-39",A1118&lt;50,"40-49",TRUE,"50+")</f>
        <v>50+</v>
      </c>
    </row>
    <row r="1119" spans="1:33" x14ac:dyDescent="0.35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 cm="1">
        <f t="array" ref="AG1119">_xlfn.IFS(A1119&lt;30,"Below 30",A1119&lt;40,"30-39",A1119&lt;50,"40-49",TRUE,"50+")</f>
        <v>30-39</v>
      </c>
    </row>
    <row r="1120" spans="1:33" x14ac:dyDescent="0.35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 cm="1">
        <f t="array" ref="AG1120">_xlfn.IFS(A1120&lt;30,"Below 30",A1120&lt;40,"30-39",A1120&lt;50,"40-49",TRUE,"50+")</f>
        <v>Below 30</v>
      </c>
    </row>
    <row r="1121" spans="1:33" x14ac:dyDescent="0.35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 cm="1">
        <f t="array" ref="AG1121">_xlfn.IFS(A1121&lt;30,"Below 30",A1121&lt;40,"30-39",A1121&lt;50,"40-49",TRUE,"50+")</f>
        <v>30-39</v>
      </c>
    </row>
    <row r="1122" spans="1:33" x14ac:dyDescent="0.35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 cm="1">
        <f t="array" ref="AG1122">_xlfn.IFS(A1122&lt;30,"Below 30",A1122&lt;40,"30-39",A1122&lt;50,"40-49",TRUE,"50+")</f>
        <v>30-39</v>
      </c>
    </row>
    <row r="1123" spans="1:33" x14ac:dyDescent="0.35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 cm="1">
        <f t="array" ref="AG1123">_xlfn.IFS(A1123&lt;30,"Below 30",A1123&lt;40,"30-39",A1123&lt;50,"40-49",TRUE,"50+")</f>
        <v>30-39</v>
      </c>
    </row>
    <row r="1124" spans="1:33" x14ac:dyDescent="0.35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 cm="1">
        <f t="array" ref="AG1124">_xlfn.IFS(A1124&lt;30,"Below 30",A1124&lt;40,"30-39",A1124&lt;50,"40-49",TRUE,"50+")</f>
        <v>Below 30</v>
      </c>
    </row>
    <row r="1125" spans="1:33" x14ac:dyDescent="0.35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 cm="1">
        <f t="array" ref="AG1125">_xlfn.IFS(A1125&lt;30,"Below 30",A1125&lt;40,"30-39",A1125&lt;50,"40-49",TRUE,"50+")</f>
        <v>30-39</v>
      </c>
    </row>
    <row r="1126" spans="1:33" x14ac:dyDescent="0.35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 cm="1">
        <f t="array" ref="AG1126">_xlfn.IFS(A1126&lt;30,"Below 30",A1126&lt;40,"30-39",A1126&lt;50,"40-49",TRUE,"50+")</f>
        <v>30-39</v>
      </c>
    </row>
    <row r="1127" spans="1:33" x14ac:dyDescent="0.35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 cm="1">
        <f t="array" ref="AG1127">_xlfn.IFS(A1127&lt;30,"Below 30",A1127&lt;40,"30-39",A1127&lt;50,"40-49",TRUE,"50+")</f>
        <v>Below 30</v>
      </c>
    </row>
    <row r="1128" spans="1:33" x14ac:dyDescent="0.35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 cm="1">
        <f t="array" ref="AG1128">_xlfn.IFS(A1128&lt;30,"Below 30",A1128&lt;40,"30-39",A1128&lt;50,"40-49",TRUE,"50+")</f>
        <v>50+</v>
      </c>
    </row>
    <row r="1129" spans="1:33" x14ac:dyDescent="0.35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 cm="1">
        <f t="array" ref="AG1129">_xlfn.IFS(A1129&lt;30,"Below 30",A1129&lt;40,"30-39",A1129&lt;50,"40-49",TRUE,"50+")</f>
        <v>Below 30</v>
      </c>
    </row>
    <row r="1130" spans="1:33" x14ac:dyDescent="0.35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 cm="1">
        <f t="array" ref="AG1130">_xlfn.IFS(A1130&lt;30,"Below 30",A1130&lt;40,"30-39",A1130&lt;50,"40-49",TRUE,"50+")</f>
        <v>30-39</v>
      </c>
    </row>
    <row r="1131" spans="1:33" x14ac:dyDescent="0.35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 cm="1">
        <f t="array" ref="AG1131">_xlfn.IFS(A1131&lt;30,"Below 30",A1131&lt;40,"30-39",A1131&lt;50,"40-49",TRUE,"50+")</f>
        <v>40-49</v>
      </c>
    </row>
    <row r="1132" spans="1:33" x14ac:dyDescent="0.35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 cm="1">
        <f t="array" ref="AG1132">_xlfn.IFS(A1132&lt;30,"Below 30",A1132&lt;40,"30-39",A1132&lt;50,"40-49",TRUE,"50+")</f>
        <v>30-39</v>
      </c>
    </row>
    <row r="1133" spans="1:33" x14ac:dyDescent="0.35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 cm="1">
        <f t="array" ref="AG1133">_xlfn.IFS(A1133&lt;30,"Below 30",A1133&lt;40,"30-39",A1133&lt;50,"40-49",TRUE,"50+")</f>
        <v>30-39</v>
      </c>
    </row>
    <row r="1134" spans="1:33" x14ac:dyDescent="0.35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 cm="1">
        <f t="array" ref="AG1134">_xlfn.IFS(A1134&lt;30,"Below 30",A1134&lt;40,"30-39",A1134&lt;50,"40-49",TRUE,"50+")</f>
        <v>40-49</v>
      </c>
    </row>
    <row r="1135" spans="1:33" x14ac:dyDescent="0.35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 cm="1">
        <f t="array" ref="AG1135">_xlfn.IFS(A1135&lt;30,"Below 30",A1135&lt;40,"30-39",A1135&lt;50,"40-49",TRUE,"50+")</f>
        <v>40-49</v>
      </c>
    </row>
    <row r="1136" spans="1:33" x14ac:dyDescent="0.35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 cm="1">
        <f t="array" ref="AG1136">_xlfn.IFS(A1136&lt;30,"Below 30",A1136&lt;40,"30-39",A1136&lt;50,"40-49",TRUE,"50+")</f>
        <v>30-39</v>
      </c>
    </row>
    <row r="1137" spans="1:33" x14ac:dyDescent="0.35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 cm="1">
        <f t="array" ref="AG1137">_xlfn.IFS(A1137&lt;30,"Below 30",A1137&lt;40,"30-39",A1137&lt;50,"40-49",TRUE,"50+")</f>
        <v>40-49</v>
      </c>
    </row>
    <row r="1138" spans="1:33" x14ac:dyDescent="0.35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 cm="1">
        <f t="array" ref="AG1138">_xlfn.IFS(A1138&lt;30,"Below 30",A1138&lt;40,"30-39",A1138&lt;50,"40-49",TRUE,"50+")</f>
        <v>Below 30</v>
      </c>
    </row>
    <row r="1139" spans="1:33" x14ac:dyDescent="0.35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 cm="1">
        <f t="array" ref="AG1139">_xlfn.IFS(A1139&lt;30,"Below 30",A1139&lt;40,"30-39",A1139&lt;50,"40-49",TRUE,"50+")</f>
        <v>Below 30</v>
      </c>
    </row>
    <row r="1140" spans="1:33" x14ac:dyDescent="0.35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 cm="1">
        <f t="array" ref="AG1140">_xlfn.IFS(A1140&lt;30,"Below 30",A1140&lt;40,"30-39",A1140&lt;50,"40-49",TRUE,"50+")</f>
        <v>50+</v>
      </c>
    </row>
    <row r="1141" spans="1:33" x14ac:dyDescent="0.35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 cm="1">
        <f t="array" ref="AG1141">_xlfn.IFS(A1141&lt;30,"Below 30",A1141&lt;40,"30-39",A1141&lt;50,"40-49",TRUE,"50+")</f>
        <v>30-39</v>
      </c>
    </row>
    <row r="1142" spans="1:33" x14ac:dyDescent="0.35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 cm="1">
        <f t="array" ref="AG1142">_xlfn.IFS(A1142&lt;30,"Below 30",A1142&lt;40,"30-39",A1142&lt;50,"40-49",TRUE,"50+")</f>
        <v>40-49</v>
      </c>
    </row>
    <row r="1143" spans="1:33" x14ac:dyDescent="0.35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 cm="1">
        <f t="array" ref="AG1143">_xlfn.IFS(A1143&lt;30,"Below 30",A1143&lt;40,"30-39",A1143&lt;50,"40-49",TRUE,"50+")</f>
        <v>30-39</v>
      </c>
    </row>
    <row r="1144" spans="1:33" x14ac:dyDescent="0.35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 cm="1">
        <f t="array" ref="AG1144">_xlfn.IFS(A1144&lt;30,"Below 30",A1144&lt;40,"30-39",A1144&lt;50,"40-49",TRUE,"50+")</f>
        <v>40-49</v>
      </c>
    </row>
    <row r="1145" spans="1:33" x14ac:dyDescent="0.35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 cm="1">
        <f t="array" ref="AG1145">_xlfn.IFS(A1145&lt;30,"Below 30",A1145&lt;40,"30-39",A1145&lt;50,"40-49",TRUE,"50+")</f>
        <v>40-49</v>
      </c>
    </row>
    <row r="1146" spans="1:33" x14ac:dyDescent="0.35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 cm="1">
        <f t="array" ref="AG1146">_xlfn.IFS(A1146&lt;30,"Below 30",A1146&lt;40,"30-39",A1146&lt;50,"40-49",TRUE,"50+")</f>
        <v>30-39</v>
      </c>
    </row>
    <row r="1147" spans="1:33" x14ac:dyDescent="0.35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 cm="1">
        <f t="array" ref="AG1147">_xlfn.IFS(A1147&lt;30,"Below 30",A1147&lt;40,"30-39",A1147&lt;50,"40-49",TRUE,"50+")</f>
        <v>30-39</v>
      </c>
    </row>
    <row r="1148" spans="1:33" x14ac:dyDescent="0.35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 cm="1">
        <f t="array" ref="AG1148">_xlfn.IFS(A1148&lt;30,"Below 30",A1148&lt;40,"30-39",A1148&lt;50,"40-49",TRUE,"50+")</f>
        <v>30-39</v>
      </c>
    </row>
    <row r="1149" spans="1:33" x14ac:dyDescent="0.35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 cm="1">
        <f t="array" ref="AG1149">_xlfn.IFS(A1149&lt;30,"Below 30",A1149&lt;40,"30-39",A1149&lt;50,"40-49",TRUE,"50+")</f>
        <v>40-49</v>
      </c>
    </row>
    <row r="1150" spans="1:33" x14ac:dyDescent="0.35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 cm="1">
        <f t="array" ref="AG1150">_xlfn.IFS(A1150&lt;30,"Below 30",A1150&lt;40,"30-39",A1150&lt;50,"40-49",TRUE,"50+")</f>
        <v>30-39</v>
      </c>
    </row>
    <row r="1151" spans="1:33" x14ac:dyDescent="0.35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 cm="1">
        <f t="array" ref="AG1151">_xlfn.IFS(A1151&lt;30,"Below 30",A1151&lt;40,"30-39",A1151&lt;50,"40-49",TRUE,"50+")</f>
        <v>Below 30</v>
      </c>
    </row>
    <row r="1152" spans="1:33" x14ac:dyDescent="0.35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 cm="1">
        <f t="array" ref="AG1152">_xlfn.IFS(A1152&lt;30,"Below 30",A1152&lt;40,"30-39",A1152&lt;50,"40-49",TRUE,"50+")</f>
        <v>30-39</v>
      </c>
    </row>
    <row r="1153" spans="1:33" x14ac:dyDescent="0.35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 cm="1">
        <f t="array" ref="AG1153">_xlfn.IFS(A1153&lt;30,"Below 30",A1153&lt;40,"30-39",A1153&lt;50,"40-49",TRUE,"50+")</f>
        <v>Below 30</v>
      </c>
    </row>
    <row r="1154" spans="1:33" x14ac:dyDescent="0.35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 cm="1">
        <f t="array" ref="AG1154">_xlfn.IFS(A1154&lt;30,"Below 30",A1154&lt;40,"30-39",A1154&lt;50,"40-49",TRUE,"50+")</f>
        <v>Below 30</v>
      </c>
    </row>
    <row r="1155" spans="1:33" x14ac:dyDescent="0.35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 cm="1">
        <f t="array" ref="AG1155">_xlfn.IFS(A1155&lt;30,"Below 30",A1155&lt;40,"30-39",A1155&lt;50,"40-49",TRUE,"50+")</f>
        <v>Below 30</v>
      </c>
    </row>
    <row r="1156" spans="1:33" x14ac:dyDescent="0.35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 cm="1">
        <f t="array" ref="AG1156">_xlfn.IFS(A1156&lt;30,"Below 30",A1156&lt;40,"30-39",A1156&lt;50,"40-49",TRUE,"50+")</f>
        <v>40-49</v>
      </c>
    </row>
    <row r="1157" spans="1:33" x14ac:dyDescent="0.35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 cm="1">
        <f t="array" ref="AG1157">_xlfn.IFS(A1157&lt;30,"Below 30",A1157&lt;40,"30-39",A1157&lt;50,"40-49",TRUE,"50+")</f>
        <v>30-39</v>
      </c>
    </row>
    <row r="1158" spans="1:33" x14ac:dyDescent="0.35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 cm="1">
        <f t="array" ref="AG1158">_xlfn.IFS(A1158&lt;30,"Below 30",A1158&lt;40,"30-39",A1158&lt;50,"40-49",TRUE,"50+")</f>
        <v>40-49</v>
      </c>
    </row>
    <row r="1159" spans="1:33" x14ac:dyDescent="0.35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 cm="1">
        <f t="array" ref="AG1159">_xlfn.IFS(A1159&lt;30,"Below 30",A1159&lt;40,"30-39",A1159&lt;50,"40-49",TRUE,"50+")</f>
        <v>30-39</v>
      </c>
    </row>
    <row r="1160" spans="1:33" x14ac:dyDescent="0.35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 cm="1">
        <f t="array" ref="AG1160">_xlfn.IFS(A1160&lt;30,"Below 30",A1160&lt;40,"30-39",A1160&lt;50,"40-49",TRUE,"50+")</f>
        <v>30-39</v>
      </c>
    </row>
    <row r="1161" spans="1:33" x14ac:dyDescent="0.35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 cm="1">
        <f t="array" ref="AG1161">_xlfn.IFS(A1161&lt;30,"Below 30",A1161&lt;40,"30-39",A1161&lt;50,"40-49",TRUE,"50+")</f>
        <v>30-39</v>
      </c>
    </row>
    <row r="1162" spans="1:33" x14ac:dyDescent="0.35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 cm="1">
        <f t="array" ref="AG1162">_xlfn.IFS(A1162&lt;30,"Below 30",A1162&lt;40,"30-39",A1162&lt;50,"40-49",TRUE,"50+")</f>
        <v>40-49</v>
      </c>
    </row>
    <row r="1163" spans="1:33" x14ac:dyDescent="0.35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 cm="1">
        <f t="array" ref="AG1163">_xlfn.IFS(A1163&lt;30,"Below 30",A1163&lt;40,"30-39",A1163&lt;50,"40-49",TRUE,"50+")</f>
        <v>30-39</v>
      </c>
    </row>
    <row r="1164" spans="1:33" x14ac:dyDescent="0.35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 cm="1">
        <f t="array" ref="AG1164">_xlfn.IFS(A1164&lt;30,"Below 30",A1164&lt;40,"30-39",A1164&lt;50,"40-49",TRUE,"50+")</f>
        <v>30-39</v>
      </c>
    </row>
    <row r="1165" spans="1:33" x14ac:dyDescent="0.35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 cm="1">
        <f t="array" ref="AG1165">_xlfn.IFS(A1165&lt;30,"Below 30",A1165&lt;40,"30-39",A1165&lt;50,"40-49",TRUE,"50+")</f>
        <v>30-39</v>
      </c>
    </row>
    <row r="1166" spans="1:33" x14ac:dyDescent="0.35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 cm="1">
        <f t="array" ref="AG1166">_xlfn.IFS(A1166&lt;30,"Below 30",A1166&lt;40,"30-39",A1166&lt;50,"40-49",TRUE,"50+")</f>
        <v>40-49</v>
      </c>
    </row>
    <row r="1167" spans="1:33" x14ac:dyDescent="0.35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 cm="1">
        <f t="array" ref="AG1167">_xlfn.IFS(A1167&lt;30,"Below 30",A1167&lt;40,"30-39",A1167&lt;50,"40-49",TRUE,"50+")</f>
        <v>40-49</v>
      </c>
    </row>
    <row r="1168" spans="1:33" x14ac:dyDescent="0.35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 cm="1">
        <f t="array" ref="AG1168">_xlfn.IFS(A1168&lt;30,"Below 30",A1168&lt;40,"30-39",A1168&lt;50,"40-49",TRUE,"50+")</f>
        <v>40-49</v>
      </c>
    </row>
    <row r="1169" spans="1:33" x14ac:dyDescent="0.35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 cm="1">
        <f t="array" ref="AG1169">_xlfn.IFS(A1169&lt;30,"Below 30",A1169&lt;40,"30-39",A1169&lt;50,"40-49",TRUE,"50+")</f>
        <v>30-39</v>
      </c>
    </row>
    <row r="1170" spans="1:33" x14ac:dyDescent="0.35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 cm="1">
        <f t="array" ref="AG1170">_xlfn.IFS(A1170&lt;30,"Below 30",A1170&lt;40,"30-39",A1170&lt;50,"40-49",TRUE,"50+")</f>
        <v>Below 30</v>
      </c>
    </row>
    <row r="1171" spans="1:33" x14ac:dyDescent="0.35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 cm="1">
        <f t="array" ref="AG1171">_xlfn.IFS(A1171&lt;30,"Below 30",A1171&lt;40,"30-39",A1171&lt;50,"40-49",TRUE,"50+")</f>
        <v>Below 30</v>
      </c>
    </row>
    <row r="1172" spans="1:33" x14ac:dyDescent="0.35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 cm="1">
        <f t="array" ref="AG1172">_xlfn.IFS(A1172&lt;30,"Below 30",A1172&lt;40,"30-39",A1172&lt;50,"40-49",TRUE,"50+")</f>
        <v>Below 30</v>
      </c>
    </row>
    <row r="1173" spans="1:33" x14ac:dyDescent="0.35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 cm="1">
        <f t="array" ref="AG1173">_xlfn.IFS(A1173&lt;30,"Below 30",A1173&lt;40,"30-39",A1173&lt;50,"40-49",TRUE,"50+")</f>
        <v>40-49</v>
      </c>
    </row>
    <row r="1174" spans="1:33" x14ac:dyDescent="0.35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 cm="1">
        <f t="array" ref="AG1174">_xlfn.IFS(A1174&lt;30,"Below 30",A1174&lt;40,"30-39",A1174&lt;50,"40-49",TRUE,"50+")</f>
        <v>Below 30</v>
      </c>
    </row>
    <row r="1175" spans="1:33" x14ac:dyDescent="0.35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 cm="1">
        <f t="array" ref="AG1175">_xlfn.IFS(A1175&lt;30,"Below 30",A1175&lt;40,"30-39",A1175&lt;50,"40-49",TRUE,"50+")</f>
        <v>30-39</v>
      </c>
    </row>
    <row r="1176" spans="1:33" x14ac:dyDescent="0.35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 cm="1">
        <f t="array" ref="AG1176">_xlfn.IFS(A1176&lt;30,"Below 30",A1176&lt;40,"30-39",A1176&lt;50,"40-49",TRUE,"50+")</f>
        <v>Below 30</v>
      </c>
    </row>
    <row r="1177" spans="1:33" x14ac:dyDescent="0.35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 cm="1">
        <f t="array" ref="AG1177">_xlfn.IFS(A1177&lt;30,"Below 30",A1177&lt;40,"30-39",A1177&lt;50,"40-49",TRUE,"50+")</f>
        <v>30-39</v>
      </c>
    </row>
    <row r="1178" spans="1:33" x14ac:dyDescent="0.35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 cm="1">
        <f t="array" ref="AG1178">_xlfn.IFS(A1178&lt;30,"Below 30",A1178&lt;40,"30-39",A1178&lt;50,"40-49",TRUE,"50+")</f>
        <v>40-49</v>
      </c>
    </row>
    <row r="1179" spans="1:33" x14ac:dyDescent="0.35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 cm="1">
        <f t="array" ref="AG1179">_xlfn.IFS(A1179&lt;30,"Below 30",A1179&lt;40,"30-39",A1179&lt;50,"40-49",TRUE,"50+")</f>
        <v>50+</v>
      </c>
    </row>
    <row r="1180" spans="1:33" x14ac:dyDescent="0.35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 cm="1">
        <f t="array" ref="AG1180">_xlfn.IFS(A1180&lt;30,"Below 30",A1180&lt;40,"30-39",A1180&lt;50,"40-49",TRUE,"50+")</f>
        <v>Below 30</v>
      </c>
    </row>
    <row r="1181" spans="1:33" x14ac:dyDescent="0.35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 cm="1">
        <f t="array" ref="AG1181">_xlfn.IFS(A1181&lt;30,"Below 30",A1181&lt;40,"30-39",A1181&lt;50,"40-49",TRUE,"50+")</f>
        <v>30-39</v>
      </c>
    </row>
    <row r="1182" spans="1:33" x14ac:dyDescent="0.35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 cm="1">
        <f t="array" ref="AG1182">_xlfn.IFS(A1182&lt;30,"Below 30",A1182&lt;40,"30-39",A1182&lt;50,"40-49",TRUE,"50+")</f>
        <v>30-39</v>
      </c>
    </row>
    <row r="1183" spans="1:33" x14ac:dyDescent="0.35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 cm="1">
        <f t="array" ref="AG1183">_xlfn.IFS(A1183&lt;30,"Below 30",A1183&lt;40,"30-39",A1183&lt;50,"40-49",TRUE,"50+")</f>
        <v>40-49</v>
      </c>
    </row>
    <row r="1184" spans="1:33" x14ac:dyDescent="0.35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 cm="1">
        <f t="array" ref="AG1184">_xlfn.IFS(A1184&lt;30,"Below 30",A1184&lt;40,"30-39",A1184&lt;50,"40-49",TRUE,"50+")</f>
        <v>30-39</v>
      </c>
    </row>
    <row r="1185" spans="1:33" x14ac:dyDescent="0.35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 cm="1">
        <f t="array" ref="AG1185">_xlfn.IFS(A1185&lt;30,"Below 30",A1185&lt;40,"30-39",A1185&lt;50,"40-49",TRUE,"50+")</f>
        <v>30-39</v>
      </c>
    </row>
    <row r="1186" spans="1:33" x14ac:dyDescent="0.35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 cm="1">
        <f t="array" ref="AG1186">_xlfn.IFS(A1186&lt;30,"Below 30",A1186&lt;40,"30-39",A1186&lt;50,"40-49",TRUE,"50+")</f>
        <v>50+</v>
      </c>
    </row>
    <row r="1187" spans="1:33" x14ac:dyDescent="0.35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 cm="1">
        <f t="array" ref="AG1187">_xlfn.IFS(A1187&lt;30,"Below 30",A1187&lt;40,"30-39",A1187&lt;50,"40-49",TRUE,"50+")</f>
        <v>40-49</v>
      </c>
    </row>
    <row r="1188" spans="1:33" x14ac:dyDescent="0.35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 cm="1">
        <f t="array" ref="AG1188">_xlfn.IFS(A1188&lt;30,"Below 30",A1188&lt;40,"30-39",A1188&lt;50,"40-49",TRUE,"50+")</f>
        <v>30-39</v>
      </c>
    </row>
    <row r="1189" spans="1:33" x14ac:dyDescent="0.35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 cm="1">
        <f t="array" ref="AG1189">_xlfn.IFS(A1189&lt;30,"Below 30",A1189&lt;40,"30-39",A1189&lt;50,"40-49",TRUE,"50+")</f>
        <v>30-39</v>
      </c>
    </row>
    <row r="1190" spans="1:33" x14ac:dyDescent="0.35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 cm="1">
        <f t="array" ref="AG1190">_xlfn.IFS(A1190&lt;30,"Below 30",A1190&lt;40,"30-39",A1190&lt;50,"40-49",TRUE,"50+")</f>
        <v>Below 30</v>
      </c>
    </row>
    <row r="1191" spans="1:33" x14ac:dyDescent="0.35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 cm="1">
        <f t="array" ref="AG1191">_xlfn.IFS(A1191&lt;30,"Below 30",A1191&lt;40,"30-39",A1191&lt;50,"40-49",TRUE,"50+")</f>
        <v>30-39</v>
      </c>
    </row>
    <row r="1192" spans="1:33" x14ac:dyDescent="0.35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 cm="1">
        <f t="array" ref="AG1192">_xlfn.IFS(A1192&lt;30,"Below 30",A1192&lt;40,"30-39",A1192&lt;50,"40-49",TRUE,"50+")</f>
        <v>30-39</v>
      </c>
    </row>
    <row r="1193" spans="1:33" x14ac:dyDescent="0.35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 cm="1">
        <f t="array" ref="AG1193">_xlfn.IFS(A1193&lt;30,"Below 30",A1193&lt;40,"30-39",A1193&lt;50,"40-49",TRUE,"50+")</f>
        <v>30-39</v>
      </c>
    </row>
    <row r="1194" spans="1:33" x14ac:dyDescent="0.35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 cm="1">
        <f t="array" ref="AG1194">_xlfn.IFS(A1194&lt;30,"Below 30",A1194&lt;40,"30-39",A1194&lt;50,"40-49",TRUE,"50+")</f>
        <v>40-49</v>
      </c>
    </row>
    <row r="1195" spans="1:33" x14ac:dyDescent="0.35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 cm="1">
        <f t="array" ref="AG1195">_xlfn.IFS(A1195&lt;30,"Below 30",A1195&lt;40,"30-39",A1195&lt;50,"40-49",TRUE,"50+")</f>
        <v>30-39</v>
      </c>
    </row>
    <row r="1196" spans="1:33" x14ac:dyDescent="0.35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 cm="1">
        <f t="array" ref="AG1196">_xlfn.IFS(A1196&lt;30,"Below 30",A1196&lt;40,"30-39",A1196&lt;50,"40-49",TRUE,"50+")</f>
        <v>40-49</v>
      </c>
    </row>
    <row r="1197" spans="1:33" x14ac:dyDescent="0.35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 cm="1">
        <f t="array" ref="AG1197">_xlfn.IFS(A1197&lt;30,"Below 30",A1197&lt;40,"30-39",A1197&lt;50,"40-49",TRUE,"50+")</f>
        <v>40-49</v>
      </c>
    </row>
    <row r="1198" spans="1:33" x14ac:dyDescent="0.35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 cm="1">
        <f t="array" ref="AG1198">_xlfn.IFS(A1198&lt;30,"Below 30",A1198&lt;40,"30-39",A1198&lt;50,"40-49",TRUE,"50+")</f>
        <v>40-49</v>
      </c>
    </row>
    <row r="1199" spans="1:33" x14ac:dyDescent="0.35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 cm="1">
        <f t="array" ref="AG1199">_xlfn.IFS(A1199&lt;30,"Below 30",A1199&lt;40,"30-39",A1199&lt;50,"40-49",TRUE,"50+")</f>
        <v>Below 30</v>
      </c>
    </row>
    <row r="1200" spans="1:33" x14ac:dyDescent="0.35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 cm="1">
        <f t="array" ref="AG1200">_xlfn.IFS(A1200&lt;30,"Below 30",A1200&lt;40,"30-39",A1200&lt;50,"40-49",TRUE,"50+")</f>
        <v>30-39</v>
      </c>
    </row>
    <row r="1201" spans="1:33" x14ac:dyDescent="0.35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 cm="1">
        <f t="array" ref="AG1201">_xlfn.IFS(A1201&lt;30,"Below 30",A1201&lt;40,"30-39",A1201&lt;50,"40-49",TRUE,"50+")</f>
        <v>30-39</v>
      </c>
    </row>
    <row r="1202" spans="1:33" x14ac:dyDescent="0.35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 cm="1">
        <f t="array" ref="AG1202">_xlfn.IFS(A1202&lt;30,"Below 30",A1202&lt;40,"30-39",A1202&lt;50,"40-49",TRUE,"50+")</f>
        <v>40-49</v>
      </c>
    </row>
    <row r="1203" spans="1:33" x14ac:dyDescent="0.35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 cm="1">
        <f t="array" ref="AG1203">_xlfn.IFS(A1203&lt;30,"Below 30",A1203&lt;40,"30-39",A1203&lt;50,"40-49",TRUE,"50+")</f>
        <v>Below 30</v>
      </c>
    </row>
    <row r="1204" spans="1:33" x14ac:dyDescent="0.35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 cm="1">
        <f t="array" ref="AG1204">_xlfn.IFS(A1204&lt;30,"Below 30",A1204&lt;40,"30-39",A1204&lt;50,"40-49",TRUE,"50+")</f>
        <v>30-39</v>
      </c>
    </row>
    <row r="1205" spans="1:33" x14ac:dyDescent="0.35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 cm="1">
        <f t="array" ref="AG1205">_xlfn.IFS(A1205&lt;30,"Below 30",A1205&lt;40,"30-39",A1205&lt;50,"40-49",TRUE,"50+")</f>
        <v>50+</v>
      </c>
    </row>
    <row r="1206" spans="1:33" x14ac:dyDescent="0.35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 cm="1">
        <f t="array" ref="AG1206">_xlfn.IFS(A1206&lt;30,"Below 30",A1206&lt;40,"30-39",A1206&lt;50,"40-49",TRUE,"50+")</f>
        <v>40-49</v>
      </c>
    </row>
    <row r="1207" spans="1:33" x14ac:dyDescent="0.35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 cm="1">
        <f t="array" ref="AG1207">_xlfn.IFS(A1207&lt;30,"Below 30",A1207&lt;40,"30-39",A1207&lt;50,"40-49",TRUE,"50+")</f>
        <v>30-39</v>
      </c>
    </row>
    <row r="1208" spans="1:33" x14ac:dyDescent="0.35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 cm="1">
        <f t="array" ref="AG1208">_xlfn.IFS(A1208&lt;30,"Below 30",A1208&lt;40,"30-39",A1208&lt;50,"40-49",TRUE,"50+")</f>
        <v>Below 30</v>
      </c>
    </row>
    <row r="1209" spans="1:33" x14ac:dyDescent="0.35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 cm="1">
        <f t="array" ref="AG1209">_xlfn.IFS(A1209&lt;30,"Below 30",A1209&lt;40,"30-39",A1209&lt;50,"40-49",TRUE,"50+")</f>
        <v>50+</v>
      </c>
    </row>
    <row r="1210" spans="1:33" x14ac:dyDescent="0.35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 cm="1">
        <f t="array" ref="AG1210">_xlfn.IFS(A1210&lt;30,"Below 30",A1210&lt;40,"30-39",A1210&lt;50,"40-49",TRUE,"50+")</f>
        <v>30-39</v>
      </c>
    </row>
    <row r="1211" spans="1:33" x14ac:dyDescent="0.35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 cm="1">
        <f t="array" ref="AG1211">_xlfn.IFS(A1211&lt;30,"Below 30",A1211&lt;40,"30-39",A1211&lt;50,"40-49",TRUE,"50+")</f>
        <v>50+</v>
      </c>
    </row>
    <row r="1212" spans="1:33" x14ac:dyDescent="0.35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 cm="1">
        <f t="array" ref="AG1212">_xlfn.IFS(A1212&lt;30,"Below 30",A1212&lt;40,"30-39",A1212&lt;50,"40-49",TRUE,"50+")</f>
        <v>30-39</v>
      </c>
    </row>
    <row r="1213" spans="1:33" x14ac:dyDescent="0.35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 cm="1">
        <f t="array" ref="AG1213">_xlfn.IFS(A1213&lt;30,"Below 30",A1213&lt;40,"30-39",A1213&lt;50,"40-49",TRUE,"50+")</f>
        <v>30-39</v>
      </c>
    </row>
    <row r="1214" spans="1:33" x14ac:dyDescent="0.35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 cm="1">
        <f t="array" ref="AG1214">_xlfn.IFS(A1214&lt;30,"Below 30",A1214&lt;40,"30-39",A1214&lt;50,"40-49",TRUE,"50+")</f>
        <v>30-39</v>
      </c>
    </row>
    <row r="1215" spans="1:33" x14ac:dyDescent="0.35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 cm="1">
        <f t="array" ref="AG1215">_xlfn.IFS(A1215&lt;30,"Below 30",A1215&lt;40,"30-39",A1215&lt;50,"40-49",TRUE,"50+")</f>
        <v>Below 30</v>
      </c>
    </row>
    <row r="1216" spans="1:33" x14ac:dyDescent="0.35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 cm="1">
        <f t="array" ref="AG1216">_xlfn.IFS(A1216&lt;30,"Below 30",A1216&lt;40,"30-39",A1216&lt;50,"40-49",TRUE,"50+")</f>
        <v>40-49</v>
      </c>
    </row>
    <row r="1217" spans="1:33" x14ac:dyDescent="0.35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 cm="1">
        <f t="array" ref="AG1217">_xlfn.IFS(A1217&lt;30,"Below 30",A1217&lt;40,"30-39",A1217&lt;50,"40-49",TRUE,"50+")</f>
        <v>30-39</v>
      </c>
    </row>
    <row r="1218" spans="1:33" x14ac:dyDescent="0.35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 cm="1">
        <f t="array" ref="AG1218">_xlfn.IFS(A1218&lt;30,"Below 30",A1218&lt;40,"30-39",A1218&lt;50,"40-49",TRUE,"50+")</f>
        <v>40-49</v>
      </c>
    </row>
    <row r="1219" spans="1:33" x14ac:dyDescent="0.35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 cm="1">
        <f t="array" ref="AG1219">_xlfn.IFS(A1219&lt;30,"Below 30",A1219&lt;40,"30-39",A1219&lt;50,"40-49",TRUE,"50+")</f>
        <v>Below 30</v>
      </c>
    </row>
    <row r="1220" spans="1:33" x14ac:dyDescent="0.35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 cm="1">
        <f t="array" ref="AG1220">_xlfn.IFS(A1220&lt;30,"Below 30",A1220&lt;40,"30-39",A1220&lt;50,"40-49",TRUE,"50+")</f>
        <v>40-49</v>
      </c>
    </row>
    <row r="1221" spans="1:33" x14ac:dyDescent="0.35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 cm="1">
        <f t="array" ref="AG1221">_xlfn.IFS(A1221&lt;30,"Below 30",A1221&lt;40,"30-39",A1221&lt;50,"40-49",TRUE,"50+")</f>
        <v>Below 30</v>
      </c>
    </row>
    <row r="1222" spans="1:33" x14ac:dyDescent="0.35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 cm="1">
        <f t="array" ref="AG1222">_xlfn.IFS(A1222&lt;30,"Below 30",A1222&lt;40,"30-39",A1222&lt;50,"40-49",TRUE,"50+")</f>
        <v>30-39</v>
      </c>
    </row>
    <row r="1223" spans="1:33" x14ac:dyDescent="0.35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 cm="1">
        <f t="array" ref="AG1223">_xlfn.IFS(A1223&lt;30,"Below 30",A1223&lt;40,"30-39",A1223&lt;50,"40-49",TRUE,"50+")</f>
        <v>40-49</v>
      </c>
    </row>
    <row r="1224" spans="1:33" x14ac:dyDescent="0.35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 cm="1">
        <f t="array" ref="AG1224">_xlfn.IFS(A1224&lt;30,"Below 30",A1224&lt;40,"30-39",A1224&lt;50,"40-49",TRUE,"50+")</f>
        <v>Below 30</v>
      </c>
    </row>
    <row r="1225" spans="1:33" x14ac:dyDescent="0.35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 cm="1">
        <f t="array" ref="AG1225">_xlfn.IFS(A1225&lt;30,"Below 30",A1225&lt;40,"30-39",A1225&lt;50,"40-49",TRUE,"50+")</f>
        <v>40-49</v>
      </c>
    </row>
    <row r="1226" spans="1:33" x14ac:dyDescent="0.35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 cm="1">
        <f t="array" ref="AG1226">_xlfn.IFS(A1226&lt;30,"Below 30",A1226&lt;40,"30-39",A1226&lt;50,"40-49",TRUE,"50+")</f>
        <v>Below 30</v>
      </c>
    </row>
    <row r="1227" spans="1:33" x14ac:dyDescent="0.35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 cm="1">
        <f t="array" ref="AG1227">_xlfn.IFS(A1227&lt;30,"Below 30",A1227&lt;40,"30-39",A1227&lt;50,"40-49",TRUE,"50+")</f>
        <v>40-49</v>
      </c>
    </row>
    <row r="1228" spans="1:33" x14ac:dyDescent="0.35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 cm="1">
        <f t="array" ref="AG1228">_xlfn.IFS(A1228&lt;30,"Below 30",A1228&lt;40,"30-39",A1228&lt;50,"40-49",TRUE,"50+")</f>
        <v>30-39</v>
      </c>
    </row>
    <row r="1229" spans="1:33" x14ac:dyDescent="0.35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 cm="1">
        <f t="array" ref="AG1229">_xlfn.IFS(A1229&lt;30,"Below 30",A1229&lt;40,"30-39",A1229&lt;50,"40-49",TRUE,"50+")</f>
        <v>30-39</v>
      </c>
    </row>
    <row r="1230" spans="1:33" x14ac:dyDescent="0.35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 cm="1">
        <f t="array" ref="AG1230">_xlfn.IFS(A1230&lt;30,"Below 30",A1230&lt;40,"30-39",A1230&lt;50,"40-49",TRUE,"50+")</f>
        <v>40-49</v>
      </c>
    </row>
    <row r="1231" spans="1:33" x14ac:dyDescent="0.35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 cm="1">
        <f t="array" ref="AG1231">_xlfn.IFS(A1231&lt;30,"Below 30",A1231&lt;40,"30-39",A1231&lt;50,"40-49",TRUE,"50+")</f>
        <v>40-49</v>
      </c>
    </row>
    <row r="1232" spans="1:33" x14ac:dyDescent="0.35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 cm="1">
        <f t="array" ref="AG1232">_xlfn.IFS(A1232&lt;30,"Below 30",A1232&lt;40,"30-39",A1232&lt;50,"40-49",TRUE,"50+")</f>
        <v>Below 30</v>
      </c>
    </row>
    <row r="1233" spans="1:33" x14ac:dyDescent="0.35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 cm="1">
        <f t="array" ref="AG1233">_xlfn.IFS(A1233&lt;30,"Below 30",A1233&lt;40,"30-39",A1233&lt;50,"40-49",TRUE,"50+")</f>
        <v>40-49</v>
      </c>
    </row>
    <row r="1234" spans="1:33" x14ac:dyDescent="0.35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 cm="1">
        <f t="array" ref="AG1234">_xlfn.IFS(A1234&lt;30,"Below 30",A1234&lt;40,"30-39",A1234&lt;50,"40-49",TRUE,"50+")</f>
        <v>30-39</v>
      </c>
    </row>
    <row r="1235" spans="1:33" x14ac:dyDescent="0.35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 cm="1">
        <f t="array" ref="AG1235">_xlfn.IFS(A1235&lt;30,"Below 30",A1235&lt;40,"30-39",A1235&lt;50,"40-49",TRUE,"50+")</f>
        <v>30-39</v>
      </c>
    </row>
    <row r="1236" spans="1:33" x14ac:dyDescent="0.35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 cm="1">
        <f t="array" ref="AG1236">_xlfn.IFS(A1236&lt;30,"Below 30",A1236&lt;40,"30-39",A1236&lt;50,"40-49",TRUE,"50+")</f>
        <v>40-49</v>
      </c>
    </row>
    <row r="1237" spans="1:33" x14ac:dyDescent="0.35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 cm="1">
        <f t="array" ref="AG1237">_xlfn.IFS(A1237&lt;30,"Below 30",A1237&lt;40,"30-39",A1237&lt;50,"40-49",TRUE,"50+")</f>
        <v>40-49</v>
      </c>
    </row>
    <row r="1238" spans="1:33" x14ac:dyDescent="0.35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 cm="1">
        <f t="array" ref="AG1238">_xlfn.IFS(A1238&lt;30,"Below 30",A1238&lt;40,"30-39",A1238&lt;50,"40-49",TRUE,"50+")</f>
        <v>30-39</v>
      </c>
    </row>
    <row r="1239" spans="1:33" x14ac:dyDescent="0.35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 cm="1">
        <f t="array" ref="AG1239">_xlfn.IFS(A1239&lt;30,"Below 30",A1239&lt;40,"30-39",A1239&lt;50,"40-49",TRUE,"50+")</f>
        <v>30-39</v>
      </c>
    </row>
    <row r="1240" spans="1:33" x14ac:dyDescent="0.35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 cm="1">
        <f t="array" ref="AG1240">_xlfn.IFS(A1240&lt;30,"Below 30",A1240&lt;40,"30-39",A1240&lt;50,"40-49",TRUE,"50+")</f>
        <v>Below 30</v>
      </c>
    </row>
    <row r="1241" spans="1:33" x14ac:dyDescent="0.35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 cm="1">
        <f t="array" ref="AG1241">_xlfn.IFS(A1241&lt;30,"Below 30",A1241&lt;40,"30-39",A1241&lt;50,"40-49",TRUE,"50+")</f>
        <v>30-39</v>
      </c>
    </row>
    <row r="1242" spans="1:33" x14ac:dyDescent="0.35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 cm="1">
        <f t="array" ref="AG1242">_xlfn.IFS(A1242&lt;30,"Below 30",A1242&lt;40,"30-39",A1242&lt;50,"40-49",TRUE,"50+")</f>
        <v>30-39</v>
      </c>
    </row>
    <row r="1243" spans="1:33" x14ac:dyDescent="0.35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 cm="1">
        <f t="array" ref="AG1243">_xlfn.IFS(A1243&lt;30,"Below 30",A1243&lt;40,"30-39",A1243&lt;50,"40-49",TRUE,"50+")</f>
        <v>30-39</v>
      </c>
    </row>
    <row r="1244" spans="1:33" x14ac:dyDescent="0.35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 cm="1">
        <f t="array" ref="AG1244">_xlfn.IFS(A1244&lt;30,"Below 30",A1244&lt;40,"30-39",A1244&lt;50,"40-49",TRUE,"50+")</f>
        <v>40-49</v>
      </c>
    </row>
    <row r="1245" spans="1:33" x14ac:dyDescent="0.35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 cm="1">
        <f t="array" ref="AG1245">_xlfn.IFS(A1245&lt;30,"Below 30",A1245&lt;40,"30-39",A1245&lt;50,"40-49",TRUE,"50+")</f>
        <v>40-49</v>
      </c>
    </row>
    <row r="1246" spans="1:33" x14ac:dyDescent="0.35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 cm="1">
        <f t="array" ref="AG1246">_xlfn.IFS(A1246&lt;30,"Below 30",A1246&lt;40,"30-39",A1246&lt;50,"40-49",TRUE,"50+")</f>
        <v>30-39</v>
      </c>
    </row>
    <row r="1247" spans="1:33" x14ac:dyDescent="0.35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 cm="1">
        <f t="array" ref="AG1247">_xlfn.IFS(A1247&lt;30,"Below 30",A1247&lt;40,"30-39",A1247&lt;50,"40-49",TRUE,"50+")</f>
        <v>Below 30</v>
      </c>
    </row>
    <row r="1248" spans="1:33" x14ac:dyDescent="0.35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 cm="1">
        <f t="array" ref="AG1248">_xlfn.IFS(A1248&lt;30,"Below 30",A1248&lt;40,"30-39",A1248&lt;50,"40-49",TRUE,"50+")</f>
        <v>30-39</v>
      </c>
    </row>
    <row r="1249" spans="1:33" x14ac:dyDescent="0.35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 cm="1">
        <f t="array" ref="AG1249">_xlfn.IFS(A1249&lt;30,"Below 30",A1249&lt;40,"30-39",A1249&lt;50,"40-49",TRUE,"50+")</f>
        <v>30-39</v>
      </c>
    </row>
    <row r="1250" spans="1:33" x14ac:dyDescent="0.35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 cm="1">
        <f t="array" ref="AG1250">_xlfn.IFS(A1250&lt;30,"Below 30",A1250&lt;40,"30-39",A1250&lt;50,"40-49",TRUE,"50+")</f>
        <v>Below 30</v>
      </c>
    </row>
    <row r="1251" spans="1:33" x14ac:dyDescent="0.35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 cm="1">
        <f t="array" ref="AG1251">_xlfn.IFS(A1251&lt;30,"Below 30",A1251&lt;40,"30-39",A1251&lt;50,"40-49",TRUE,"50+")</f>
        <v>Below 30</v>
      </c>
    </row>
    <row r="1252" spans="1:33" x14ac:dyDescent="0.35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 cm="1">
        <f t="array" ref="AG1252">_xlfn.IFS(A1252&lt;30,"Below 30",A1252&lt;40,"30-39",A1252&lt;50,"40-49",TRUE,"50+")</f>
        <v>Below 30</v>
      </c>
    </row>
    <row r="1253" spans="1:33" x14ac:dyDescent="0.35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 cm="1">
        <f t="array" ref="AG1253">_xlfn.IFS(A1253&lt;30,"Below 30",A1253&lt;40,"30-39",A1253&lt;50,"40-49",TRUE,"50+")</f>
        <v>30-39</v>
      </c>
    </row>
    <row r="1254" spans="1:33" x14ac:dyDescent="0.35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 cm="1">
        <f t="array" ref="AG1254">_xlfn.IFS(A1254&lt;30,"Below 30",A1254&lt;40,"30-39",A1254&lt;50,"40-49",TRUE,"50+")</f>
        <v>30-39</v>
      </c>
    </row>
    <row r="1255" spans="1:33" x14ac:dyDescent="0.35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 cm="1">
        <f t="array" ref="AG1255">_xlfn.IFS(A1255&lt;30,"Below 30",A1255&lt;40,"30-39",A1255&lt;50,"40-49",TRUE,"50+")</f>
        <v>30-39</v>
      </c>
    </row>
    <row r="1256" spans="1:33" x14ac:dyDescent="0.35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 cm="1">
        <f t="array" ref="AG1256">_xlfn.IFS(A1256&lt;30,"Below 30",A1256&lt;40,"30-39",A1256&lt;50,"40-49",TRUE,"50+")</f>
        <v>40-49</v>
      </c>
    </row>
    <row r="1257" spans="1:33" x14ac:dyDescent="0.35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 cm="1">
        <f t="array" ref="AG1257">_xlfn.IFS(A1257&lt;30,"Below 30",A1257&lt;40,"30-39",A1257&lt;50,"40-49",TRUE,"50+")</f>
        <v>30-39</v>
      </c>
    </row>
    <row r="1258" spans="1:33" x14ac:dyDescent="0.35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 cm="1">
        <f t="array" ref="AG1258">_xlfn.IFS(A1258&lt;30,"Below 30",A1258&lt;40,"30-39",A1258&lt;50,"40-49",TRUE,"50+")</f>
        <v>30-39</v>
      </c>
    </row>
    <row r="1259" spans="1:33" x14ac:dyDescent="0.35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 cm="1">
        <f t="array" ref="AG1259">_xlfn.IFS(A1259&lt;30,"Below 30",A1259&lt;40,"30-39",A1259&lt;50,"40-49",TRUE,"50+")</f>
        <v>30-39</v>
      </c>
    </row>
    <row r="1260" spans="1:33" x14ac:dyDescent="0.35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 cm="1">
        <f t="array" ref="AG1260">_xlfn.IFS(A1260&lt;30,"Below 30",A1260&lt;40,"30-39",A1260&lt;50,"40-49",TRUE,"50+")</f>
        <v>Below 30</v>
      </c>
    </row>
    <row r="1261" spans="1:33" x14ac:dyDescent="0.35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 cm="1">
        <f t="array" ref="AG1261">_xlfn.IFS(A1261&lt;30,"Below 30",A1261&lt;40,"30-39",A1261&lt;50,"40-49",TRUE,"50+")</f>
        <v>30-39</v>
      </c>
    </row>
    <row r="1262" spans="1:33" x14ac:dyDescent="0.35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 cm="1">
        <f t="array" ref="AG1262">_xlfn.IFS(A1262&lt;30,"Below 30",A1262&lt;40,"30-39",A1262&lt;50,"40-49",TRUE,"50+")</f>
        <v>30-39</v>
      </c>
    </row>
    <row r="1263" spans="1:33" x14ac:dyDescent="0.35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 cm="1">
        <f t="array" ref="AG1263">_xlfn.IFS(A1263&lt;30,"Below 30",A1263&lt;40,"30-39",A1263&lt;50,"40-49",TRUE,"50+")</f>
        <v>30-39</v>
      </c>
    </row>
    <row r="1264" spans="1:33" x14ac:dyDescent="0.35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 cm="1">
        <f t="array" ref="AG1264">_xlfn.IFS(A1264&lt;30,"Below 30",A1264&lt;40,"30-39",A1264&lt;50,"40-49",TRUE,"50+")</f>
        <v>40-49</v>
      </c>
    </row>
    <row r="1265" spans="1:33" x14ac:dyDescent="0.35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 cm="1">
        <f t="array" ref="AG1265">_xlfn.IFS(A1265&lt;30,"Below 30",A1265&lt;40,"30-39",A1265&lt;50,"40-49",TRUE,"50+")</f>
        <v>40-49</v>
      </c>
    </row>
    <row r="1266" spans="1:33" x14ac:dyDescent="0.35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 cm="1">
        <f t="array" ref="AG1266">_xlfn.IFS(A1266&lt;30,"Below 30",A1266&lt;40,"30-39",A1266&lt;50,"40-49",TRUE,"50+")</f>
        <v>50+</v>
      </c>
    </row>
    <row r="1267" spans="1:33" x14ac:dyDescent="0.35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 cm="1">
        <f t="array" ref="AG1267">_xlfn.IFS(A1267&lt;30,"Below 30",A1267&lt;40,"30-39",A1267&lt;50,"40-49",TRUE,"50+")</f>
        <v>30-39</v>
      </c>
    </row>
    <row r="1268" spans="1:33" x14ac:dyDescent="0.35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 cm="1">
        <f t="array" ref="AG1268">_xlfn.IFS(A1268&lt;30,"Below 30",A1268&lt;40,"30-39",A1268&lt;50,"40-49",TRUE,"50+")</f>
        <v>40-49</v>
      </c>
    </row>
    <row r="1269" spans="1:33" x14ac:dyDescent="0.35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 cm="1">
        <f t="array" ref="AG1269">_xlfn.IFS(A1269&lt;30,"Below 30",A1269&lt;40,"30-39",A1269&lt;50,"40-49",TRUE,"50+")</f>
        <v>30-39</v>
      </c>
    </row>
    <row r="1270" spans="1:33" x14ac:dyDescent="0.35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 cm="1">
        <f t="array" ref="AG1270">_xlfn.IFS(A1270&lt;30,"Below 30",A1270&lt;40,"30-39",A1270&lt;50,"40-49",TRUE,"50+")</f>
        <v>50+</v>
      </c>
    </row>
    <row r="1271" spans="1:33" x14ac:dyDescent="0.35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 cm="1">
        <f t="array" ref="AG1271">_xlfn.IFS(A1271&lt;30,"Below 30",A1271&lt;40,"30-39",A1271&lt;50,"40-49",TRUE,"50+")</f>
        <v>40-49</v>
      </c>
    </row>
    <row r="1272" spans="1:33" x14ac:dyDescent="0.35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 cm="1">
        <f t="array" ref="AG1272">_xlfn.IFS(A1272&lt;30,"Below 30",A1272&lt;40,"30-39",A1272&lt;50,"40-49",TRUE,"50+")</f>
        <v>30-39</v>
      </c>
    </row>
    <row r="1273" spans="1:33" x14ac:dyDescent="0.35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 cm="1">
        <f t="array" ref="AG1273">_xlfn.IFS(A1273&lt;30,"Below 30",A1273&lt;40,"30-39",A1273&lt;50,"40-49",TRUE,"50+")</f>
        <v>Below 30</v>
      </c>
    </row>
    <row r="1274" spans="1:33" x14ac:dyDescent="0.35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 cm="1">
        <f t="array" ref="AG1274">_xlfn.IFS(A1274&lt;30,"Below 30",A1274&lt;40,"30-39",A1274&lt;50,"40-49",TRUE,"50+")</f>
        <v>30-39</v>
      </c>
    </row>
    <row r="1275" spans="1:33" x14ac:dyDescent="0.35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 cm="1">
        <f t="array" ref="AG1275">_xlfn.IFS(A1275&lt;30,"Below 30",A1275&lt;40,"30-39",A1275&lt;50,"40-49",TRUE,"50+")</f>
        <v>Below 30</v>
      </c>
    </row>
    <row r="1276" spans="1:33" x14ac:dyDescent="0.35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 cm="1">
        <f t="array" ref="AG1276">_xlfn.IFS(A1276&lt;30,"Below 30",A1276&lt;40,"30-39",A1276&lt;50,"40-49",TRUE,"50+")</f>
        <v>30-39</v>
      </c>
    </row>
    <row r="1277" spans="1:33" x14ac:dyDescent="0.35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 cm="1">
        <f t="array" ref="AG1277">_xlfn.IFS(A1277&lt;30,"Below 30",A1277&lt;40,"30-39",A1277&lt;50,"40-49",TRUE,"50+")</f>
        <v>50+</v>
      </c>
    </row>
    <row r="1278" spans="1:33" x14ac:dyDescent="0.35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 cm="1">
        <f t="array" ref="AG1278">_xlfn.IFS(A1278&lt;30,"Below 30",A1278&lt;40,"30-39",A1278&lt;50,"40-49",TRUE,"50+")</f>
        <v>30-39</v>
      </c>
    </row>
    <row r="1279" spans="1:33" x14ac:dyDescent="0.35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 cm="1">
        <f t="array" ref="AG1279">_xlfn.IFS(A1279&lt;30,"Below 30",A1279&lt;40,"30-39",A1279&lt;50,"40-49",TRUE,"50+")</f>
        <v>40-49</v>
      </c>
    </row>
    <row r="1280" spans="1:33" x14ac:dyDescent="0.35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 cm="1">
        <f t="array" ref="AG1280">_xlfn.IFS(A1280&lt;30,"Below 30",A1280&lt;40,"30-39",A1280&lt;50,"40-49",TRUE,"50+")</f>
        <v>30-39</v>
      </c>
    </row>
    <row r="1281" spans="1:33" x14ac:dyDescent="0.35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 cm="1">
        <f t="array" ref="AG1281">_xlfn.IFS(A1281&lt;30,"Below 30",A1281&lt;40,"30-39",A1281&lt;50,"40-49",TRUE,"50+")</f>
        <v>40-49</v>
      </c>
    </row>
    <row r="1282" spans="1:33" x14ac:dyDescent="0.35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 cm="1">
        <f t="array" ref="AG1282">_xlfn.IFS(A1282&lt;30,"Below 30",A1282&lt;40,"30-39",A1282&lt;50,"40-49",TRUE,"50+")</f>
        <v>30-39</v>
      </c>
    </row>
    <row r="1283" spans="1:33" x14ac:dyDescent="0.35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 cm="1">
        <f t="array" ref="AG1283">_xlfn.IFS(A1283&lt;30,"Below 30",A1283&lt;40,"30-39",A1283&lt;50,"40-49",TRUE,"50+")</f>
        <v>30-39</v>
      </c>
    </row>
    <row r="1284" spans="1:33" x14ac:dyDescent="0.35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 cm="1">
        <f t="array" ref="AG1284">_xlfn.IFS(A1284&lt;30,"Below 30",A1284&lt;40,"30-39",A1284&lt;50,"40-49",TRUE,"50+")</f>
        <v>30-39</v>
      </c>
    </row>
    <row r="1285" spans="1:33" x14ac:dyDescent="0.35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 cm="1">
        <f t="array" ref="AG1285">_xlfn.IFS(A1285&lt;30,"Below 30",A1285&lt;40,"30-39",A1285&lt;50,"40-49",TRUE,"50+")</f>
        <v>Below 30</v>
      </c>
    </row>
    <row r="1286" spans="1:33" x14ac:dyDescent="0.35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 cm="1">
        <f t="array" ref="AG1286">_xlfn.IFS(A1286&lt;30,"Below 30",A1286&lt;40,"30-39",A1286&lt;50,"40-49",TRUE,"50+")</f>
        <v>30-39</v>
      </c>
    </row>
    <row r="1287" spans="1:33" x14ac:dyDescent="0.35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 cm="1">
        <f t="array" ref="AG1287">_xlfn.IFS(A1287&lt;30,"Below 30",A1287&lt;40,"30-39",A1287&lt;50,"40-49",TRUE,"50+")</f>
        <v>40-49</v>
      </c>
    </row>
    <row r="1288" spans="1:33" x14ac:dyDescent="0.35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 cm="1">
        <f t="array" ref="AG1288">_xlfn.IFS(A1288&lt;30,"Below 30",A1288&lt;40,"30-39",A1288&lt;50,"40-49",TRUE,"50+")</f>
        <v>40-49</v>
      </c>
    </row>
    <row r="1289" spans="1:33" x14ac:dyDescent="0.35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 cm="1">
        <f t="array" ref="AG1289">_xlfn.IFS(A1289&lt;30,"Below 30",A1289&lt;40,"30-39",A1289&lt;50,"40-49",TRUE,"50+")</f>
        <v>40-49</v>
      </c>
    </row>
    <row r="1290" spans="1:33" x14ac:dyDescent="0.35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 cm="1">
        <f t="array" ref="AG1290">_xlfn.IFS(A1290&lt;30,"Below 30",A1290&lt;40,"30-39",A1290&lt;50,"40-49",TRUE,"50+")</f>
        <v>30-39</v>
      </c>
    </row>
    <row r="1291" spans="1:33" x14ac:dyDescent="0.35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 cm="1">
        <f t="array" ref="AG1291">_xlfn.IFS(A1291&lt;30,"Below 30",A1291&lt;40,"30-39",A1291&lt;50,"40-49",TRUE,"50+")</f>
        <v>30-39</v>
      </c>
    </row>
    <row r="1292" spans="1:33" x14ac:dyDescent="0.35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 cm="1">
        <f t="array" ref="AG1292">_xlfn.IFS(A1292&lt;30,"Below 30",A1292&lt;40,"30-39",A1292&lt;50,"40-49",TRUE,"50+")</f>
        <v>30-39</v>
      </c>
    </row>
    <row r="1293" spans="1:33" x14ac:dyDescent="0.35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 cm="1">
        <f t="array" ref="AG1293">_xlfn.IFS(A1293&lt;30,"Below 30",A1293&lt;40,"30-39",A1293&lt;50,"40-49",TRUE,"50+")</f>
        <v>30-39</v>
      </c>
    </row>
    <row r="1294" spans="1:33" x14ac:dyDescent="0.35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 cm="1">
        <f t="array" ref="AG1294">_xlfn.IFS(A1294&lt;30,"Below 30",A1294&lt;40,"30-39",A1294&lt;50,"40-49",TRUE,"50+")</f>
        <v>30-39</v>
      </c>
    </row>
    <row r="1295" spans="1:33" x14ac:dyDescent="0.35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 cm="1">
        <f t="array" ref="AG1295">_xlfn.IFS(A1295&lt;30,"Below 30",A1295&lt;40,"30-39",A1295&lt;50,"40-49",TRUE,"50+")</f>
        <v>40-49</v>
      </c>
    </row>
    <row r="1296" spans="1:33" x14ac:dyDescent="0.35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 cm="1">
        <f t="array" ref="AG1296">_xlfn.IFS(A1296&lt;30,"Below 30",A1296&lt;40,"30-39",A1296&lt;50,"40-49",TRUE,"50+")</f>
        <v>40-49</v>
      </c>
    </row>
    <row r="1297" spans="1:33" x14ac:dyDescent="0.35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 cm="1">
        <f t="array" ref="AG1297">_xlfn.IFS(A1297&lt;30,"Below 30",A1297&lt;40,"30-39",A1297&lt;50,"40-49",TRUE,"50+")</f>
        <v>40-49</v>
      </c>
    </row>
    <row r="1298" spans="1:33" x14ac:dyDescent="0.35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 cm="1">
        <f t="array" ref="AG1298">_xlfn.IFS(A1298&lt;30,"Below 30",A1298&lt;40,"30-39",A1298&lt;50,"40-49",TRUE,"50+")</f>
        <v>30-39</v>
      </c>
    </row>
    <row r="1299" spans="1:33" x14ac:dyDescent="0.35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 cm="1">
        <f t="array" ref="AG1299">_xlfn.IFS(A1299&lt;30,"Below 30",A1299&lt;40,"30-39",A1299&lt;50,"40-49",TRUE,"50+")</f>
        <v>Below 30</v>
      </c>
    </row>
    <row r="1300" spans="1:33" x14ac:dyDescent="0.35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 cm="1">
        <f t="array" ref="AG1300">_xlfn.IFS(A1300&lt;30,"Below 30",A1300&lt;40,"30-39",A1300&lt;50,"40-49",TRUE,"50+")</f>
        <v>40-49</v>
      </c>
    </row>
    <row r="1301" spans="1:33" x14ac:dyDescent="0.35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 cm="1">
        <f t="array" ref="AG1301">_xlfn.IFS(A1301&lt;30,"Below 30",A1301&lt;40,"30-39",A1301&lt;50,"40-49",TRUE,"50+")</f>
        <v>40-49</v>
      </c>
    </row>
    <row r="1302" spans="1:33" x14ac:dyDescent="0.35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 cm="1">
        <f t="array" ref="AG1302">_xlfn.IFS(A1302&lt;30,"Below 30",A1302&lt;40,"30-39",A1302&lt;50,"40-49",TRUE,"50+")</f>
        <v>30-39</v>
      </c>
    </row>
    <row r="1303" spans="1:33" x14ac:dyDescent="0.35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 cm="1">
        <f t="array" ref="AG1303">_xlfn.IFS(A1303&lt;30,"Below 30",A1303&lt;40,"30-39",A1303&lt;50,"40-49",TRUE,"50+")</f>
        <v>50+</v>
      </c>
    </row>
    <row r="1304" spans="1:33" x14ac:dyDescent="0.35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 cm="1">
        <f t="array" ref="AG1304">_xlfn.IFS(A1304&lt;30,"Below 30",A1304&lt;40,"30-39",A1304&lt;50,"40-49",TRUE,"50+")</f>
        <v>30-39</v>
      </c>
    </row>
    <row r="1305" spans="1:33" x14ac:dyDescent="0.35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 cm="1">
        <f t="array" ref="AG1305">_xlfn.IFS(A1305&lt;30,"Below 30",A1305&lt;40,"30-39",A1305&lt;50,"40-49",TRUE,"50+")</f>
        <v>40-49</v>
      </c>
    </row>
    <row r="1306" spans="1:33" x14ac:dyDescent="0.35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 cm="1">
        <f t="array" ref="AG1306">_xlfn.IFS(A1306&lt;30,"Below 30",A1306&lt;40,"30-39",A1306&lt;50,"40-49",TRUE,"50+")</f>
        <v>40-49</v>
      </c>
    </row>
    <row r="1307" spans="1:33" x14ac:dyDescent="0.35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 cm="1">
        <f t="array" ref="AG1307">_xlfn.IFS(A1307&lt;30,"Below 30",A1307&lt;40,"30-39",A1307&lt;50,"40-49",TRUE,"50+")</f>
        <v>50+</v>
      </c>
    </row>
    <row r="1308" spans="1:33" x14ac:dyDescent="0.35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 cm="1">
        <f t="array" ref="AG1308">_xlfn.IFS(A1308&lt;30,"Below 30",A1308&lt;40,"30-39",A1308&lt;50,"40-49",TRUE,"50+")</f>
        <v>30-39</v>
      </c>
    </row>
    <row r="1309" spans="1:33" x14ac:dyDescent="0.35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 cm="1">
        <f t="array" ref="AG1309">_xlfn.IFS(A1309&lt;30,"Below 30",A1309&lt;40,"30-39",A1309&lt;50,"40-49",TRUE,"50+")</f>
        <v>Below 30</v>
      </c>
    </row>
    <row r="1310" spans="1:33" x14ac:dyDescent="0.35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 cm="1">
        <f t="array" ref="AG1310">_xlfn.IFS(A1310&lt;30,"Below 30",A1310&lt;40,"30-39",A1310&lt;50,"40-49",TRUE,"50+")</f>
        <v>30-39</v>
      </c>
    </row>
    <row r="1311" spans="1:33" x14ac:dyDescent="0.35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 cm="1">
        <f t="array" ref="AG1311">_xlfn.IFS(A1311&lt;30,"Below 30",A1311&lt;40,"30-39",A1311&lt;50,"40-49",TRUE,"50+")</f>
        <v>Below 30</v>
      </c>
    </row>
    <row r="1312" spans="1:33" x14ac:dyDescent="0.35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 cm="1">
        <f t="array" ref="AG1312">_xlfn.IFS(A1312&lt;30,"Below 30",A1312&lt;40,"30-39",A1312&lt;50,"40-49",TRUE,"50+")</f>
        <v>50+</v>
      </c>
    </row>
    <row r="1313" spans="1:33" x14ac:dyDescent="0.35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 cm="1">
        <f t="array" ref="AG1313">_xlfn.IFS(A1313&lt;30,"Below 30",A1313&lt;40,"30-39",A1313&lt;50,"40-49",TRUE,"50+")</f>
        <v>Below 30</v>
      </c>
    </row>
    <row r="1314" spans="1:33" x14ac:dyDescent="0.35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 cm="1">
        <f t="array" ref="AG1314">_xlfn.IFS(A1314&lt;30,"Below 30",A1314&lt;40,"30-39",A1314&lt;50,"40-49",TRUE,"50+")</f>
        <v>30-39</v>
      </c>
    </row>
    <row r="1315" spans="1:33" x14ac:dyDescent="0.35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 cm="1">
        <f t="array" ref="AG1315">_xlfn.IFS(A1315&lt;30,"Below 30",A1315&lt;40,"30-39",A1315&lt;50,"40-49",TRUE,"50+")</f>
        <v>Below 30</v>
      </c>
    </row>
    <row r="1316" spans="1:33" x14ac:dyDescent="0.35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 cm="1">
        <f t="array" ref="AG1316">_xlfn.IFS(A1316&lt;30,"Below 30",A1316&lt;40,"30-39",A1316&lt;50,"40-49",TRUE,"50+")</f>
        <v>40-49</v>
      </c>
    </row>
    <row r="1317" spans="1:33" x14ac:dyDescent="0.35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 cm="1">
        <f t="array" ref="AG1317">_xlfn.IFS(A1317&lt;30,"Below 30",A1317&lt;40,"30-39",A1317&lt;50,"40-49",TRUE,"50+")</f>
        <v>30-39</v>
      </c>
    </row>
    <row r="1318" spans="1:33" x14ac:dyDescent="0.35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 cm="1">
        <f t="array" ref="AG1318">_xlfn.IFS(A1318&lt;30,"Below 30",A1318&lt;40,"30-39",A1318&lt;50,"40-49",TRUE,"50+")</f>
        <v>40-49</v>
      </c>
    </row>
    <row r="1319" spans="1:33" x14ac:dyDescent="0.35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 cm="1">
        <f t="array" ref="AG1319">_xlfn.IFS(A1319&lt;30,"Below 30",A1319&lt;40,"30-39",A1319&lt;50,"40-49",TRUE,"50+")</f>
        <v>Below 30</v>
      </c>
    </row>
    <row r="1320" spans="1:33" x14ac:dyDescent="0.35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 cm="1">
        <f t="array" ref="AG1320">_xlfn.IFS(A1320&lt;30,"Below 30",A1320&lt;40,"30-39",A1320&lt;50,"40-49",TRUE,"50+")</f>
        <v>Below 30</v>
      </c>
    </row>
    <row r="1321" spans="1:33" x14ac:dyDescent="0.35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 cm="1">
        <f t="array" ref="AG1321">_xlfn.IFS(A1321&lt;30,"Below 30",A1321&lt;40,"30-39",A1321&lt;50,"40-49",TRUE,"50+")</f>
        <v>30-39</v>
      </c>
    </row>
    <row r="1322" spans="1:33" x14ac:dyDescent="0.35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 cm="1">
        <f t="array" ref="AG1322">_xlfn.IFS(A1322&lt;30,"Below 30",A1322&lt;40,"30-39",A1322&lt;50,"40-49",TRUE,"50+")</f>
        <v>40-49</v>
      </c>
    </row>
    <row r="1323" spans="1:33" x14ac:dyDescent="0.35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 cm="1">
        <f t="array" ref="AG1323">_xlfn.IFS(A1323&lt;30,"Below 30",A1323&lt;40,"30-39",A1323&lt;50,"40-49",TRUE,"50+")</f>
        <v>40-49</v>
      </c>
    </row>
    <row r="1324" spans="1:33" x14ac:dyDescent="0.35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 cm="1">
        <f t="array" ref="AG1324">_xlfn.IFS(A1324&lt;30,"Below 30",A1324&lt;40,"30-39",A1324&lt;50,"40-49",TRUE,"50+")</f>
        <v>40-49</v>
      </c>
    </row>
    <row r="1325" spans="1:33" x14ac:dyDescent="0.35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 cm="1">
        <f t="array" ref="AG1325">_xlfn.IFS(A1325&lt;30,"Below 30",A1325&lt;40,"30-39",A1325&lt;50,"40-49",TRUE,"50+")</f>
        <v>Below 30</v>
      </c>
    </row>
    <row r="1326" spans="1:33" x14ac:dyDescent="0.35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 cm="1">
        <f t="array" ref="AG1326">_xlfn.IFS(A1326&lt;30,"Below 30",A1326&lt;40,"30-39",A1326&lt;50,"40-49",TRUE,"50+")</f>
        <v>Below 30</v>
      </c>
    </row>
    <row r="1327" spans="1:33" x14ac:dyDescent="0.35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 cm="1">
        <f t="array" ref="AG1327">_xlfn.IFS(A1327&lt;30,"Below 30",A1327&lt;40,"30-39",A1327&lt;50,"40-49",TRUE,"50+")</f>
        <v>40-49</v>
      </c>
    </row>
    <row r="1328" spans="1:33" x14ac:dyDescent="0.35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 cm="1">
        <f t="array" ref="AG1328">_xlfn.IFS(A1328&lt;30,"Below 30",A1328&lt;40,"30-39",A1328&lt;50,"40-49",TRUE,"50+")</f>
        <v>30-39</v>
      </c>
    </row>
    <row r="1329" spans="1:33" x14ac:dyDescent="0.35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 cm="1">
        <f t="array" ref="AG1329">_xlfn.IFS(A1329&lt;30,"Below 30",A1329&lt;40,"30-39",A1329&lt;50,"40-49",TRUE,"50+")</f>
        <v>40-49</v>
      </c>
    </row>
    <row r="1330" spans="1:33" x14ac:dyDescent="0.35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 cm="1">
        <f t="array" ref="AG1330">_xlfn.IFS(A1330&lt;30,"Below 30",A1330&lt;40,"30-39",A1330&lt;50,"40-49",TRUE,"50+")</f>
        <v>Below 30</v>
      </c>
    </row>
    <row r="1331" spans="1:33" x14ac:dyDescent="0.35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 cm="1">
        <f t="array" ref="AG1331">_xlfn.IFS(A1331&lt;30,"Below 30",A1331&lt;40,"30-39",A1331&lt;50,"40-49",TRUE,"50+")</f>
        <v>Below 30</v>
      </c>
    </row>
    <row r="1332" spans="1:33" x14ac:dyDescent="0.35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 cm="1">
        <f t="array" ref="AG1332">_xlfn.IFS(A1332&lt;30,"Below 30",A1332&lt;40,"30-39",A1332&lt;50,"40-49",TRUE,"50+")</f>
        <v>40-49</v>
      </c>
    </row>
    <row r="1333" spans="1:33" x14ac:dyDescent="0.35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 cm="1">
        <f t="array" ref="AG1333">_xlfn.IFS(A1333&lt;30,"Below 30",A1333&lt;40,"30-39",A1333&lt;50,"40-49",TRUE,"50+")</f>
        <v>40-49</v>
      </c>
    </row>
    <row r="1334" spans="1:33" x14ac:dyDescent="0.35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 cm="1">
        <f t="array" ref="AG1334">_xlfn.IFS(A1334&lt;30,"Below 30",A1334&lt;40,"30-39",A1334&lt;50,"40-49",TRUE,"50+")</f>
        <v>Below 30</v>
      </c>
    </row>
    <row r="1335" spans="1:33" x14ac:dyDescent="0.35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 cm="1">
        <f t="array" ref="AG1335">_xlfn.IFS(A1335&lt;30,"Below 30",A1335&lt;40,"30-39",A1335&lt;50,"40-49",TRUE,"50+")</f>
        <v>40-49</v>
      </c>
    </row>
    <row r="1336" spans="1:33" x14ac:dyDescent="0.35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 cm="1">
        <f t="array" ref="AG1336">_xlfn.IFS(A1336&lt;30,"Below 30",A1336&lt;40,"30-39",A1336&lt;50,"40-49",TRUE,"50+")</f>
        <v>Below 30</v>
      </c>
    </row>
    <row r="1337" spans="1:33" x14ac:dyDescent="0.35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 cm="1">
        <f t="array" ref="AG1337">_xlfn.IFS(A1337&lt;30,"Below 30",A1337&lt;40,"30-39",A1337&lt;50,"40-49",TRUE,"50+")</f>
        <v>30-39</v>
      </c>
    </row>
    <row r="1338" spans="1:33" x14ac:dyDescent="0.35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 cm="1">
        <f t="array" ref="AG1338">_xlfn.IFS(A1338&lt;30,"Below 30",A1338&lt;40,"30-39",A1338&lt;50,"40-49",TRUE,"50+")</f>
        <v>50+</v>
      </c>
    </row>
    <row r="1339" spans="1:33" x14ac:dyDescent="0.35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 cm="1">
        <f t="array" ref="AG1339">_xlfn.IFS(A1339&lt;30,"Below 30",A1339&lt;40,"30-39",A1339&lt;50,"40-49",TRUE,"50+")</f>
        <v>Below 30</v>
      </c>
    </row>
    <row r="1340" spans="1:33" x14ac:dyDescent="0.35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 cm="1">
        <f t="array" ref="AG1340">_xlfn.IFS(A1340&lt;30,"Below 30",A1340&lt;40,"30-39",A1340&lt;50,"40-49",TRUE,"50+")</f>
        <v>30-39</v>
      </c>
    </row>
    <row r="1341" spans="1:33" x14ac:dyDescent="0.35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 cm="1">
        <f t="array" ref="AG1341">_xlfn.IFS(A1341&lt;30,"Below 30",A1341&lt;40,"30-39",A1341&lt;50,"40-49",TRUE,"50+")</f>
        <v>Below 30</v>
      </c>
    </row>
    <row r="1342" spans="1:33" x14ac:dyDescent="0.35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 cm="1">
        <f t="array" ref="AG1342">_xlfn.IFS(A1342&lt;30,"Below 30",A1342&lt;40,"30-39",A1342&lt;50,"40-49",TRUE,"50+")</f>
        <v>30-39</v>
      </c>
    </row>
    <row r="1343" spans="1:33" x14ac:dyDescent="0.35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 cm="1">
        <f t="array" ref="AG1343">_xlfn.IFS(A1343&lt;30,"Below 30",A1343&lt;40,"30-39",A1343&lt;50,"40-49",TRUE,"50+")</f>
        <v>30-39</v>
      </c>
    </row>
    <row r="1344" spans="1:33" x14ac:dyDescent="0.35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 cm="1">
        <f t="array" ref="AG1344">_xlfn.IFS(A1344&lt;30,"Below 30",A1344&lt;40,"30-39",A1344&lt;50,"40-49",TRUE,"50+")</f>
        <v>30-39</v>
      </c>
    </row>
    <row r="1345" spans="1:33" x14ac:dyDescent="0.35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 cm="1">
        <f t="array" ref="AG1345">_xlfn.IFS(A1345&lt;30,"Below 30",A1345&lt;40,"30-39",A1345&lt;50,"40-49",TRUE,"50+")</f>
        <v>Below 30</v>
      </c>
    </row>
    <row r="1346" spans="1:33" x14ac:dyDescent="0.35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 cm="1">
        <f t="array" ref="AG1346">_xlfn.IFS(A1346&lt;30,"Below 30",A1346&lt;40,"30-39",A1346&lt;50,"40-49",TRUE,"50+")</f>
        <v>30-39</v>
      </c>
    </row>
    <row r="1347" spans="1:33" x14ac:dyDescent="0.35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 cm="1">
        <f t="array" ref="AG1347">_xlfn.IFS(A1347&lt;30,"Below 30",A1347&lt;40,"30-39",A1347&lt;50,"40-49",TRUE,"50+")</f>
        <v>30-39</v>
      </c>
    </row>
    <row r="1348" spans="1:33" x14ac:dyDescent="0.35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 cm="1">
        <f t="array" ref="AG1348">_xlfn.IFS(A1348&lt;30,"Below 30",A1348&lt;40,"30-39",A1348&lt;50,"40-49",TRUE,"50+")</f>
        <v>40-49</v>
      </c>
    </row>
    <row r="1349" spans="1:33" x14ac:dyDescent="0.35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 cm="1">
        <f t="array" ref="AG1349">_xlfn.IFS(A1349&lt;30,"Below 30",A1349&lt;40,"30-39",A1349&lt;50,"40-49",TRUE,"50+")</f>
        <v>30-39</v>
      </c>
    </row>
    <row r="1350" spans="1:33" x14ac:dyDescent="0.35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 cm="1">
        <f t="array" ref="AG1350">_xlfn.IFS(A1350&lt;30,"Below 30",A1350&lt;40,"30-39",A1350&lt;50,"40-49",TRUE,"50+")</f>
        <v>40-49</v>
      </c>
    </row>
    <row r="1351" spans="1:33" x14ac:dyDescent="0.35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 cm="1">
        <f t="array" ref="AG1351">_xlfn.IFS(A1351&lt;30,"Below 30",A1351&lt;40,"30-39",A1351&lt;50,"40-49",TRUE,"50+")</f>
        <v>Below 30</v>
      </c>
    </row>
    <row r="1352" spans="1:33" x14ac:dyDescent="0.35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 cm="1">
        <f t="array" ref="AG1352">_xlfn.IFS(A1352&lt;30,"Below 30",A1352&lt;40,"30-39",A1352&lt;50,"40-49",TRUE,"50+")</f>
        <v>Below 30</v>
      </c>
    </row>
    <row r="1353" spans="1:33" x14ac:dyDescent="0.35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 cm="1">
        <f t="array" ref="AG1353">_xlfn.IFS(A1353&lt;30,"Below 30",A1353&lt;40,"30-39",A1353&lt;50,"40-49",TRUE,"50+")</f>
        <v>40-49</v>
      </c>
    </row>
    <row r="1354" spans="1:33" x14ac:dyDescent="0.35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 cm="1">
        <f t="array" ref="AG1354">_xlfn.IFS(A1354&lt;30,"Below 30",A1354&lt;40,"30-39",A1354&lt;50,"40-49",TRUE,"50+")</f>
        <v>40-49</v>
      </c>
    </row>
    <row r="1355" spans="1:33" x14ac:dyDescent="0.35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 cm="1">
        <f t="array" ref="AG1355">_xlfn.IFS(A1355&lt;30,"Below 30",A1355&lt;40,"30-39",A1355&lt;50,"40-49",TRUE,"50+")</f>
        <v>30-39</v>
      </c>
    </row>
    <row r="1356" spans="1:33" x14ac:dyDescent="0.35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 cm="1">
        <f t="array" ref="AG1356">_xlfn.IFS(A1356&lt;30,"Below 30",A1356&lt;40,"30-39",A1356&lt;50,"40-49",TRUE,"50+")</f>
        <v>50+</v>
      </c>
    </row>
    <row r="1357" spans="1:33" x14ac:dyDescent="0.35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 cm="1">
        <f t="array" ref="AG1357">_xlfn.IFS(A1357&lt;30,"Below 30",A1357&lt;40,"30-39",A1357&lt;50,"40-49",TRUE,"50+")</f>
        <v>30-39</v>
      </c>
    </row>
    <row r="1358" spans="1:33" x14ac:dyDescent="0.35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 cm="1">
        <f t="array" ref="AG1358">_xlfn.IFS(A1358&lt;30,"Below 30",A1358&lt;40,"30-39",A1358&lt;50,"40-49",TRUE,"50+")</f>
        <v>40-49</v>
      </c>
    </row>
    <row r="1359" spans="1:33" x14ac:dyDescent="0.35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 cm="1">
        <f t="array" ref="AG1359">_xlfn.IFS(A1359&lt;30,"Below 30",A1359&lt;40,"30-39",A1359&lt;50,"40-49",TRUE,"50+")</f>
        <v>40-49</v>
      </c>
    </row>
    <row r="1360" spans="1:33" x14ac:dyDescent="0.35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 cm="1">
        <f t="array" ref="AG1360">_xlfn.IFS(A1360&lt;30,"Below 30",A1360&lt;40,"30-39",A1360&lt;50,"40-49",TRUE,"50+")</f>
        <v>30-39</v>
      </c>
    </row>
    <row r="1361" spans="1:33" x14ac:dyDescent="0.35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 cm="1">
        <f t="array" ref="AG1361">_xlfn.IFS(A1361&lt;30,"Below 30",A1361&lt;40,"30-39",A1361&lt;50,"40-49",TRUE,"50+")</f>
        <v>30-39</v>
      </c>
    </row>
    <row r="1362" spans="1:33" x14ac:dyDescent="0.35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 cm="1">
        <f t="array" ref="AG1362">_xlfn.IFS(A1362&lt;30,"Below 30",A1362&lt;40,"30-39",A1362&lt;50,"40-49",TRUE,"50+")</f>
        <v>30-39</v>
      </c>
    </row>
    <row r="1363" spans="1:33" x14ac:dyDescent="0.35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 cm="1">
        <f t="array" ref="AG1363">_xlfn.IFS(A1363&lt;30,"Below 30",A1363&lt;40,"30-39",A1363&lt;50,"40-49",TRUE,"50+")</f>
        <v>Below 30</v>
      </c>
    </row>
    <row r="1364" spans="1:33" x14ac:dyDescent="0.35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 cm="1">
        <f t="array" ref="AG1364">_xlfn.IFS(A1364&lt;30,"Below 30",A1364&lt;40,"30-39",A1364&lt;50,"40-49",TRUE,"50+")</f>
        <v>40-49</v>
      </c>
    </row>
    <row r="1365" spans="1:33" x14ac:dyDescent="0.35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 cm="1">
        <f t="array" ref="AG1365">_xlfn.IFS(A1365&lt;30,"Below 30",A1365&lt;40,"30-39",A1365&lt;50,"40-49",TRUE,"50+")</f>
        <v>30-39</v>
      </c>
    </row>
    <row r="1366" spans="1:33" x14ac:dyDescent="0.35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 cm="1">
        <f t="array" ref="AG1366">_xlfn.IFS(A1366&lt;30,"Below 30",A1366&lt;40,"30-39",A1366&lt;50,"40-49",TRUE,"50+")</f>
        <v>Below 30</v>
      </c>
    </row>
    <row r="1367" spans="1:33" x14ac:dyDescent="0.35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 cm="1">
        <f t="array" ref="AG1367">_xlfn.IFS(A1367&lt;30,"Below 30",A1367&lt;40,"30-39",A1367&lt;50,"40-49",TRUE,"50+")</f>
        <v>Below 30</v>
      </c>
    </row>
    <row r="1368" spans="1:33" x14ac:dyDescent="0.35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 cm="1">
        <f t="array" ref="AG1368">_xlfn.IFS(A1368&lt;30,"Below 30",A1368&lt;40,"30-39",A1368&lt;50,"40-49",TRUE,"50+")</f>
        <v>30-39</v>
      </c>
    </row>
    <row r="1369" spans="1:33" x14ac:dyDescent="0.35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 cm="1">
        <f t="array" ref="AG1369">_xlfn.IFS(A1369&lt;30,"Below 30",A1369&lt;40,"30-39",A1369&lt;50,"40-49",TRUE,"50+")</f>
        <v>Below 30</v>
      </c>
    </row>
    <row r="1370" spans="1:33" x14ac:dyDescent="0.35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 cm="1">
        <f t="array" ref="AG1370">_xlfn.IFS(A1370&lt;30,"Below 30",A1370&lt;40,"30-39",A1370&lt;50,"40-49",TRUE,"50+")</f>
        <v>30-39</v>
      </c>
    </row>
    <row r="1371" spans="1:33" x14ac:dyDescent="0.35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 cm="1">
        <f t="array" ref="AG1371">_xlfn.IFS(A1371&lt;30,"Below 30",A1371&lt;40,"30-39",A1371&lt;50,"40-49",TRUE,"50+")</f>
        <v>Below 30</v>
      </c>
    </row>
    <row r="1372" spans="1:33" x14ac:dyDescent="0.35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 cm="1">
        <f t="array" ref="AG1372">_xlfn.IFS(A1372&lt;30,"Below 30",A1372&lt;40,"30-39",A1372&lt;50,"40-49",TRUE,"50+")</f>
        <v>40-49</v>
      </c>
    </row>
    <row r="1373" spans="1:33" x14ac:dyDescent="0.35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 cm="1">
        <f t="array" ref="AG1373">_xlfn.IFS(A1373&lt;30,"Below 30",A1373&lt;40,"30-39",A1373&lt;50,"40-49",TRUE,"50+")</f>
        <v>50+</v>
      </c>
    </row>
    <row r="1374" spans="1:33" x14ac:dyDescent="0.35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 cm="1">
        <f t="array" ref="AG1374">_xlfn.IFS(A1374&lt;30,"Below 30",A1374&lt;40,"30-39",A1374&lt;50,"40-49",TRUE,"50+")</f>
        <v>30-39</v>
      </c>
    </row>
    <row r="1375" spans="1:33" x14ac:dyDescent="0.35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 cm="1">
        <f t="array" ref="AG1375">_xlfn.IFS(A1375&lt;30,"Below 30",A1375&lt;40,"30-39",A1375&lt;50,"40-49",TRUE,"50+")</f>
        <v>30-39</v>
      </c>
    </row>
    <row r="1376" spans="1:33" x14ac:dyDescent="0.35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 cm="1">
        <f t="array" ref="AG1376">_xlfn.IFS(A1376&lt;30,"Below 30",A1376&lt;40,"30-39",A1376&lt;50,"40-49",TRUE,"50+")</f>
        <v>50+</v>
      </c>
    </row>
    <row r="1377" spans="1:33" x14ac:dyDescent="0.35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 cm="1">
        <f t="array" ref="AG1377">_xlfn.IFS(A1377&lt;30,"Below 30",A1377&lt;40,"30-39",A1377&lt;50,"40-49",TRUE,"50+")</f>
        <v>30-39</v>
      </c>
    </row>
    <row r="1378" spans="1:33" x14ac:dyDescent="0.35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 cm="1">
        <f t="array" ref="AG1378">_xlfn.IFS(A1378&lt;30,"Below 30",A1378&lt;40,"30-39",A1378&lt;50,"40-49",TRUE,"50+")</f>
        <v>30-39</v>
      </c>
    </row>
    <row r="1379" spans="1:33" x14ac:dyDescent="0.35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 cm="1">
        <f t="array" ref="AG1379">_xlfn.IFS(A1379&lt;30,"Below 30",A1379&lt;40,"30-39",A1379&lt;50,"40-49",TRUE,"50+")</f>
        <v>40-49</v>
      </c>
    </row>
    <row r="1380" spans="1:33" x14ac:dyDescent="0.35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 cm="1">
        <f t="array" ref="AG1380">_xlfn.IFS(A1380&lt;30,"Below 30",A1380&lt;40,"30-39",A1380&lt;50,"40-49",TRUE,"50+")</f>
        <v>40-49</v>
      </c>
    </row>
    <row r="1381" spans="1:33" x14ac:dyDescent="0.35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 cm="1">
        <f t="array" ref="AG1381">_xlfn.IFS(A1381&lt;30,"Below 30",A1381&lt;40,"30-39",A1381&lt;50,"40-49",TRUE,"50+")</f>
        <v>Below 30</v>
      </c>
    </row>
    <row r="1382" spans="1:33" x14ac:dyDescent="0.35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 cm="1">
        <f t="array" ref="AG1382">_xlfn.IFS(A1382&lt;30,"Below 30",A1382&lt;40,"30-39",A1382&lt;50,"40-49",TRUE,"50+")</f>
        <v>30-39</v>
      </c>
    </row>
    <row r="1383" spans="1:33" x14ac:dyDescent="0.35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 cm="1">
        <f t="array" ref="AG1383">_xlfn.IFS(A1383&lt;30,"Below 30",A1383&lt;40,"30-39",A1383&lt;50,"40-49",TRUE,"50+")</f>
        <v>Below 30</v>
      </c>
    </row>
    <row r="1384" spans="1:33" x14ac:dyDescent="0.35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 cm="1">
        <f t="array" ref="AG1384">_xlfn.IFS(A1384&lt;30,"Below 30",A1384&lt;40,"30-39",A1384&lt;50,"40-49",TRUE,"50+")</f>
        <v>30-39</v>
      </c>
    </row>
    <row r="1385" spans="1:33" x14ac:dyDescent="0.35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 cm="1">
        <f t="array" ref="AG1385">_xlfn.IFS(A1385&lt;30,"Below 30",A1385&lt;40,"30-39",A1385&lt;50,"40-49",TRUE,"50+")</f>
        <v>30-39</v>
      </c>
    </row>
    <row r="1386" spans="1:33" x14ac:dyDescent="0.35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 cm="1">
        <f t="array" ref="AG1386">_xlfn.IFS(A1386&lt;30,"Below 30",A1386&lt;40,"30-39",A1386&lt;50,"40-49",TRUE,"50+")</f>
        <v>30-39</v>
      </c>
    </row>
    <row r="1387" spans="1:33" x14ac:dyDescent="0.35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 cm="1">
        <f t="array" ref="AG1387">_xlfn.IFS(A1387&lt;30,"Below 30",A1387&lt;40,"30-39",A1387&lt;50,"40-49",TRUE,"50+")</f>
        <v>30-39</v>
      </c>
    </row>
    <row r="1388" spans="1:33" x14ac:dyDescent="0.35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 cm="1">
        <f t="array" ref="AG1388">_xlfn.IFS(A1388&lt;30,"Below 30",A1388&lt;40,"30-39",A1388&lt;50,"40-49",TRUE,"50+")</f>
        <v>Below 30</v>
      </c>
    </row>
    <row r="1389" spans="1:33" x14ac:dyDescent="0.35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 cm="1">
        <f t="array" ref="AG1389">_xlfn.IFS(A1389&lt;30,"Below 30",A1389&lt;40,"30-39",A1389&lt;50,"40-49",TRUE,"50+")</f>
        <v>Below 30</v>
      </c>
    </row>
    <row r="1390" spans="1:33" x14ac:dyDescent="0.35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 cm="1">
        <f t="array" ref="AG1390">_xlfn.IFS(A1390&lt;30,"Below 30",A1390&lt;40,"30-39",A1390&lt;50,"40-49",TRUE,"50+")</f>
        <v>30-39</v>
      </c>
    </row>
    <row r="1391" spans="1:33" x14ac:dyDescent="0.35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 cm="1">
        <f t="array" ref="AG1391">_xlfn.IFS(A1391&lt;30,"Below 30",A1391&lt;40,"30-39",A1391&lt;50,"40-49",TRUE,"50+")</f>
        <v>30-39</v>
      </c>
    </row>
    <row r="1392" spans="1:33" x14ac:dyDescent="0.35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 cm="1">
        <f t="array" ref="AG1392">_xlfn.IFS(A1392&lt;30,"Below 30",A1392&lt;40,"30-39",A1392&lt;50,"40-49",TRUE,"50+")</f>
        <v>Below 30</v>
      </c>
    </row>
    <row r="1393" spans="1:33" x14ac:dyDescent="0.35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 cm="1">
        <f t="array" ref="AG1393">_xlfn.IFS(A1393&lt;30,"Below 30",A1393&lt;40,"30-39",A1393&lt;50,"40-49",TRUE,"50+")</f>
        <v>30-39</v>
      </c>
    </row>
    <row r="1394" spans="1:33" x14ac:dyDescent="0.35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 cm="1">
        <f t="array" ref="AG1394">_xlfn.IFS(A1394&lt;30,"Below 30",A1394&lt;40,"30-39",A1394&lt;50,"40-49",TRUE,"50+")</f>
        <v>30-39</v>
      </c>
    </row>
    <row r="1395" spans="1:33" x14ac:dyDescent="0.35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 cm="1">
        <f t="array" ref="AG1395">_xlfn.IFS(A1395&lt;30,"Below 30",A1395&lt;40,"30-39",A1395&lt;50,"40-49",TRUE,"50+")</f>
        <v>Below 30</v>
      </c>
    </row>
    <row r="1396" spans="1:33" x14ac:dyDescent="0.35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 cm="1">
        <f t="array" ref="AG1396">_xlfn.IFS(A1396&lt;30,"Below 30",A1396&lt;40,"30-39",A1396&lt;50,"40-49",TRUE,"50+")</f>
        <v>30-39</v>
      </c>
    </row>
    <row r="1397" spans="1:33" x14ac:dyDescent="0.35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 cm="1">
        <f t="array" ref="AG1397">_xlfn.IFS(A1397&lt;30,"Below 30",A1397&lt;40,"30-39",A1397&lt;50,"40-49",TRUE,"50+")</f>
        <v>30-39</v>
      </c>
    </row>
    <row r="1398" spans="1:33" x14ac:dyDescent="0.35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 cm="1">
        <f t="array" ref="AG1398">_xlfn.IFS(A1398&lt;30,"Below 30",A1398&lt;40,"30-39",A1398&lt;50,"40-49",TRUE,"50+")</f>
        <v>50+</v>
      </c>
    </row>
    <row r="1399" spans="1:33" x14ac:dyDescent="0.35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 cm="1">
        <f t="array" ref="AG1399">_xlfn.IFS(A1399&lt;30,"Below 30",A1399&lt;40,"30-39",A1399&lt;50,"40-49",TRUE,"50+")</f>
        <v>50+</v>
      </c>
    </row>
    <row r="1400" spans="1:33" x14ac:dyDescent="0.35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 cm="1">
        <f t="array" ref="AG1400">_xlfn.IFS(A1400&lt;30,"Below 30",A1400&lt;40,"30-39",A1400&lt;50,"40-49",TRUE,"50+")</f>
        <v>30-39</v>
      </c>
    </row>
    <row r="1401" spans="1:33" x14ac:dyDescent="0.35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 cm="1">
        <f t="array" ref="AG1401">_xlfn.IFS(A1401&lt;30,"Below 30",A1401&lt;40,"30-39",A1401&lt;50,"40-49",TRUE,"50+")</f>
        <v>40-49</v>
      </c>
    </row>
    <row r="1402" spans="1:33" x14ac:dyDescent="0.35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 cm="1">
        <f t="array" ref="AG1402">_xlfn.IFS(A1402&lt;30,"Below 30",A1402&lt;40,"30-39",A1402&lt;50,"40-49",TRUE,"50+")</f>
        <v>30-39</v>
      </c>
    </row>
    <row r="1403" spans="1:33" x14ac:dyDescent="0.35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 cm="1">
        <f t="array" ref="AG1403">_xlfn.IFS(A1403&lt;30,"Below 30",A1403&lt;40,"30-39",A1403&lt;50,"40-49",TRUE,"50+")</f>
        <v>50+</v>
      </c>
    </row>
    <row r="1404" spans="1:33" x14ac:dyDescent="0.35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 cm="1">
        <f t="array" ref="AG1404">_xlfn.IFS(A1404&lt;30,"Below 30",A1404&lt;40,"30-39",A1404&lt;50,"40-49",TRUE,"50+")</f>
        <v>30-39</v>
      </c>
    </row>
    <row r="1405" spans="1:33" x14ac:dyDescent="0.35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 cm="1">
        <f t="array" ref="AG1405">_xlfn.IFS(A1405&lt;30,"Below 30",A1405&lt;40,"30-39",A1405&lt;50,"40-49",TRUE,"50+")</f>
        <v>30-39</v>
      </c>
    </row>
    <row r="1406" spans="1:33" x14ac:dyDescent="0.35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 cm="1">
        <f t="array" ref="AG1406">_xlfn.IFS(A1406&lt;30,"Below 30",A1406&lt;40,"30-39",A1406&lt;50,"40-49",TRUE,"50+")</f>
        <v>40-49</v>
      </c>
    </row>
    <row r="1407" spans="1:33" x14ac:dyDescent="0.35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 cm="1">
        <f t="array" ref="AG1407">_xlfn.IFS(A1407&lt;30,"Below 30",A1407&lt;40,"30-39",A1407&lt;50,"40-49",TRUE,"50+")</f>
        <v>30-39</v>
      </c>
    </row>
    <row r="1408" spans="1:33" x14ac:dyDescent="0.35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 cm="1">
        <f t="array" ref="AG1408">_xlfn.IFS(A1408&lt;30,"Below 30",A1408&lt;40,"30-39",A1408&lt;50,"40-49",TRUE,"50+")</f>
        <v>50+</v>
      </c>
    </row>
    <row r="1409" spans="1:33" x14ac:dyDescent="0.35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 cm="1">
        <f t="array" ref="AG1409">_xlfn.IFS(A1409&lt;30,"Below 30",A1409&lt;40,"30-39",A1409&lt;50,"40-49",TRUE,"50+")</f>
        <v>Below 30</v>
      </c>
    </row>
    <row r="1410" spans="1:33" x14ac:dyDescent="0.35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 cm="1">
        <f t="array" ref="AG1410">_xlfn.IFS(A1410&lt;30,"Below 30",A1410&lt;40,"30-39",A1410&lt;50,"40-49",TRUE,"50+")</f>
        <v>Below 30</v>
      </c>
    </row>
    <row r="1411" spans="1:33" x14ac:dyDescent="0.35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 cm="1">
        <f t="array" ref="AG1411">_xlfn.IFS(A1411&lt;30,"Below 30",A1411&lt;40,"30-39",A1411&lt;50,"40-49",TRUE,"50+")</f>
        <v>40-49</v>
      </c>
    </row>
    <row r="1412" spans="1:33" x14ac:dyDescent="0.35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 cm="1">
        <f t="array" ref="AG1412">_xlfn.IFS(A1412&lt;30,"Below 30",A1412&lt;40,"30-39",A1412&lt;50,"40-49",TRUE,"50+")</f>
        <v>40-49</v>
      </c>
    </row>
    <row r="1413" spans="1:33" x14ac:dyDescent="0.35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 cm="1">
        <f t="array" ref="AG1413">_xlfn.IFS(A1413&lt;30,"Below 30",A1413&lt;40,"30-39",A1413&lt;50,"40-49",TRUE,"50+")</f>
        <v>Below 30</v>
      </c>
    </row>
    <row r="1414" spans="1:33" x14ac:dyDescent="0.35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 cm="1">
        <f t="array" ref="AG1414">_xlfn.IFS(A1414&lt;30,"Below 30",A1414&lt;40,"30-39",A1414&lt;50,"40-49",TRUE,"50+")</f>
        <v>30-39</v>
      </c>
    </row>
    <row r="1415" spans="1:33" x14ac:dyDescent="0.35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 cm="1">
        <f t="array" ref="AG1415">_xlfn.IFS(A1415&lt;30,"Below 30",A1415&lt;40,"30-39",A1415&lt;50,"40-49",TRUE,"50+")</f>
        <v>Below 30</v>
      </c>
    </row>
    <row r="1416" spans="1:33" x14ac:dyDescent="0.35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 cm="1">
        <f t="array" ref="AG1416">_xlfn.IFS(A1416&lt;30,"Below 30",A1416&lt;40,"30-39",A1416&lt;50,"40-49",TRUE,"50+")</f>
        <v>40-49</v>
      </c>
    </row>
    <row r="1417" spans="1:33" x14ac:dyDescent="0.35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 cm="1">
        <f t="array" ref="AG1417">_xlfn.IFS(A1417&lt;30,"Below 30",A1417&lt;40,"30-39",A1417&lt;50,"40-49",TRUE,"50+")</f>
        <v>30-39</v>
      </c>
    </row>
    <row r="1418" spans="1:33" x14ac:dyDescent="0.35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 cm="1">
        <f t="array" ref="AG1418">_xlfn.IFS(A1418&lt;30,"Below 30",A1418&lt;40,"30-39",A1418&lt;50,"40-49",TRUE,"50+")</f>
        <v>30-39</v>
      </c>
    </row>
    <row r="1419" spans="1:33" x14ac:dyDescent="0.35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 cm="1">
        <f t="array" ref="AG1419">_xlfn.IFS(A1419&lt;30,"Below 30",A1419&lt;40,"30-39",A1419&lt;50,"40-49",TRUE,"50+")</f>
        <v>30-39</v>
      </c>
    </row>
    <row r="1420" spans="1:33" x14ac:dyDescent="0.35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 cm="1">
        <f t="array" ref="AG1420">_xlfn.IFS(A1420&lt;30,"Below 30",A1420&lt;40,"30-39",A1420&lt;50,"40-49",TRUE,"50+")</f>
        <v>30-39</v>
      </c>
    </row>
    <row r="1421" spans="1:33" x14ac:dyDescent="0.35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 cm="1">
        <f t="array" ref="AG1421">_xlfn.IFS(A1421&lt;30,"Below 30",A1421&lt;40,"30-39",A1421&lt;50,"40-49",TRUE,"50+")</f>
        <v>40-49</v>
      </c>
    </row>
    <row r="1422" spans="1:33" x14ac:dyDescent="0.35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 cm="1">
        <f t="array" ref="AG1422">_xlfn.IFS(A1422&lt;30,"Below 30",A1422&lt;40,"30-39",A1422&lt;50,"40-49",TRUE,"50+")</f>
        <v>40-49</v>
      </c>
    </row>
    <row r="1423" spans="1:33" x14ac:dyDescent="0.35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 cm="1">
        <f t="array" ref="AG1423">_xlfn.IFS(A1423&lt;30,"Below 30",A1423&lt;40,"30-39",A1423&lt;50,"40-49",TRUE,"50+")</f>
        <v>40-49</v>
      </c>
    </row>
    <row r="1424" spans="1:33" x14ac:dyDescent="0.35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 cm="1">
        <f t="array" ref="AG1424">_xlfn.IFS(A1424&lt;30,"Below 30",A1424&lt;40,"30-39",A1424&lt;50,"40-49",TRUE,"50+")</f>
        <v>30-39</v>
      </c>
    </row>
    <row r="1425" spans="1:33" x14ac:dyDescent="0.35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 cm="1">
        <f t="array" ref="AG1425">_xlfn.IFS(A1425&lt;30,"Below 30",A1425&lt;40,"30-39",A1425&lt;50,"40-49",TRUE,"50+")</f>
        <v>Below 30</v>
      </c>
    </row>
    <row r="1426" spans="1:33" x14ac:dyDescent="0.35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 cm="1">
        <f t="array" ref="AG1426">_xlfn.IFS(A1426&lt;30,"Below 30",A1426&lt;40,"30-39",A1426&lt;50,"40-49",TRUE,"50+")</f>
        <v>30-39</v>
      </c>
    </row>
    <row r="1427" spans="1:33" x14ac:dyDescent="0.35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 cm="1">
        <f t="array" ref="AG1427">_xlfn.IFS(A1427&lt;30,"Below 30",A1427&lt;40,"30-39",A1427&lt;50,"40-49",TRUE,"50+")</f>
        <v>30-39</v>
      </c>
    </row>
    <row r="1428" spans="1:33" x14ac:dyDescent="0.35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 cm="1">
        <f t="array" ref="AG1428">_xlfn.IFS(A1428&lt;30,"Below 30",A1428&lt;40,"30-39",A1428&lt;50,"40-49",TRUE,"50+")</f>
        <v>30-39</v>
      </c>
    </row>
    <row r="1429" spans="1:33" x14ac:dyDescent="0.35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 cm="1">
        <f t="array" ref="AG1429">_xlfn.IFS(A1429&lt;30,"Below 30",A1429&lt;40,"30-39",A1429&lt;50,"40-49",TRUE,"50+")</f>
        <v>40-49</v>
      </c>
    </row>
    <row r="1430" spans="1:33" x14ac:dyDescent="0.35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 cm="1">
        <f t="array" ref="AG1430">_xlfn.IFS(A1430&lt;30,"Below 30",A1430&lt;40,"30-39",A1430&lt;50,"40-49",TRUE,"50+")</f>
        <v>30-39</v>
      </c>
    </row>
    <row r="1431" spans="1:33" x14ac:dyDescent="0.35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 cm="1">
        <f t="array" ref="AG1431">_xlfn.IFS(A1431&lt;30,"Below 30",A1431&lt;40,"30-39",A1431&lt;50,"40-49",TRUE,"50+")</f>
        <v>30-39</v>
      </c>
    </row>
    <row r="1432" spans="1:33" x14ac:dyDescent="0.35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 cm="1">
        <f t="array" ref="AG1432">_xlfn.IFS(A1432&lt;30,"Below 30",A1432&lt;40,"30-39",A1432&lt;50,"40-49",TRUE,"50+")</f>
        <v>30-39</v>
      </c>
    </row>
    <row r="1433" spans="1:33" x14ac:dyDescent="0.35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 cm="1">
        <f t="array" ref="AG1433">_xlfn.IFS(A1433&lt;30,"Below 30",A1433&lt;40,"30-39",A1433&lt;50,"40-49",TRUE,"50+")</f>
        <v>30-39</v>
      </c>
    </row>
    <row r="1434" spans="1:33" x14ac:dyDescent="0.35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 cm="1">
        <f t="array" ref="AG1434">_xlfn.IFS(A1434&lt;30,"Below 30",A1434&lt;40,"30-39",A1434&lt;50,"40-49",TRUE,"50+")</f>
        <v>30-39</v>
      </c>
    </row>
    <row r="1435" spans="1:33" x14ac:dyDescent="0.35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 cm="1">
        <f t="array" ref="AG1435">_xlfn.IFS(A1435&lt;30,"Below 30",A1435&lt;40,"30-39",A1435&lt;50,"40-49",TRUE,"50+")</f>
        <v>Below 30</v>
      </c>
    </row>
    <row r="1436" spans="1:33" x14ac:dyDescent="0.35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 cm="1">
        <f t="array" ref="AG1436">_xlfn.IFS(A1436&lt;30,"Below 30",A1436&lt;40,"30-39",A1436&lt;50,"40-49",TRUE,"50+")</f>
        <v>50+</v>
      </c>
    </row>
    <row r="1437" spans="1:33" x14ac:dyDescent="0.35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 cm="1">
        <f t="array" ref="AG1437">_xlfn.IFS(A1437&lt;30,"Below 30",A1437&lt;40,"30-39",A1437&lt;50,"40-49",TRUE,"50+")</f>
        <v>40-49</v>
      </c>
    </row>
    <row r="1438" spans="1:33" x14ac:dyDescent="0.35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 cm="1">
        <f t="array" ref="AG1438">_xlfn.IFS(A1438&lt;30,"Below 30",A1438&lt;40,"30-39",A1438&lt;50,"40-49",TRUE,"50+")</f>
        <v>Below 30</v>
      </c>
    </row>
    <row r="1439" spans="1:33" x14ac:dyDescent="0.35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 cm="1">
        <f t="array" ref="AG1439">_xlfn.IFS(A1439&lt;30,"Below 30",A1439&lt;40,"30-39",A1439&lt;50,"40-49",TRUE,"50+")</f>
        <v>30-39</v>
      </c>
    </row>
    <row r="1440" spans="1:33" x14ac:dyDescent="0.35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 cm="1">
        <f t="array" ref="AG1440">_xlfn.IFS(A1440&lt;30,"Below 30",A1440&lt;40,"30-39",A1440&lt;50,"40-49",TRUE,"50+")</f>
        <v>Below 30</v>
      </c>
    </row>
    <row r="1441" spans="1:33" x14ac:dyDescent="0.35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 cm="1">
        <f t="array" ref="AG1441">_xlfn.IFS(A1441&lt;30,"Below 30",A1441&lt;40,"30-39",A1441&lt;50,"40-49",TRUE,"50+")</f>
        <v>30-39</v>
      </c>
    </row>
    <row r="1442" spans="1:33" x14ac:dyDescent="0.35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 cm="1">
        <f t="array" ref="AG1442">_xlfn.IFS(A1442&lt;30,"Below 30",A1442&lt;40,"30-39",A1442&lt;50,"40-49",TRUE,"50+")</f>
        <v>30-39</v>
      </c>
    </row>
    <row r="1443" spans="1:33" x14ac:dyDescent="0.35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 cm="1">
        <f t="array" ref="AG1443">_xlfn.IFS(A1443&lt;30,"Below 30",A1443&lt;40,"30-39",A1443&lt;50,"40-49",TRUE,"50+")</f>
        <v>50+</v>
      </c>
    </row>
    <row r="1444" spans="1:33" x14ac:dyDescent="0.35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 cm="1">
        <f t="array" ref="AG1444">_xlfn.IFS(A1444&lt;30,"Below 30",A1444&lt;40,"30-39",A1444&lt;50,"40-49",TRUE,"50+")</f>
        <v>Below 30</v>
      </c>
    </row>
    <row r="1445" spans="1:33" x14ac:dyDescent="0.35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 cm="1">
        <f t="array" ref="AG1445">_xlfn.IFS(A1445&lt;30,"Below 30",A1445&lt;40,"30-39",A1445&lt;50,"40-49",TRUE,"50+")</f>
        <v>40-49</v>
      </c>
    </row>
    <row r="1446" spans="1:33" x14ac:dyDescent="0.35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 cm="1">
        <f t="array" ref="AG1446">_xlfn.IFS(A1446&lt;30,"Below 30",A1446&lt;40,"30-39",A1446&lt;50,"40-49",TRUE,"50+")</f>
        <v>50+</v>
      </c>
    </row>
    <row r="1447" spans="1:33" x14ac:dyDescent="0.35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 cm="1">
        <f t="array" ref="AG1447">_xlfn.IFS(A1447&lt;30,"Below 30",A1447&lt;40,"30-39",A1447&lt;50,"40-49",TRUE,"50+")</f>
        <v>40-49</v>
      </c>
    </row>
    <row r="1448" spans="1:33" x14ac:dyDescent="0.35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 cm="1">
        <f t="array" ref="AG1448">_xlfn.IFS(A1448&lt;30,"Below 30",A1448&lt;40,"30-39",A1448&lt;50,"40-49",TRUE,"50+")</f>
        <v>30-39</v>
      </c>
    </row>
    <row r="1449" spans="1:33" x14ac:dyDescent="0.35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 cm="1">
        <f t="array" ref="AG1449">_xlfn.IFS(A1449&lt;30,"Below 30",A1449&lt;40,"30-39",A1449&lt;50,"40-49",TRUE,"50+")</f>
        <v>30-39</v>
      </c>
    </row>
    <row r="1450" spans="1:33" x14ac:dyDescent="0.35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 cm="1">
        <f t="array" ref="AG1450">_xlfn.IFS(A1450&lt;30,"Below 30",A1450&lt;40,"30-39",A1450&lt;50,"40-49",TRUE,"50+")</f>
        <v>40-49</v>
      </c>
    </row>
    <row r="1451" spans="1:33" x14ac:dyDescent="0.35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 cm="1">
        <f t="array" ref="AG1451">_xlfn.IFS(A1451&lt;30,"Below 30",A1451&lt;40,"30-39",A1451&lt;50,"40-49",TRUE,"50+")</f>
        <v>30-39</v>
      </c>
    </row>
    <row r="1452" spans="1:33" x14ac:dyDescent="0.35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 cm="1">
        <f t="array" ref="AG1452">_xlfn.IFS(A1452&lt;30,"Below 30",A1452&lt;40,"30-39",A1452&lt;50,"40-49",TRUE,"50+")</f>
        <v>30-39</v>
      </c>
    </row>
    <row r="1453" spans="1:33" x14ac:dyDescent="0.35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 cm="1">
        <f t="array" ref="AG1453">_xlfn.IFS(A1453&lt;30,"Below 30",A1453&lt;40,"30-39",A1453&lt;50,"40-49",TRUE,"50+")</f>
        <v>30-39</v>
      </c>
    </row>
    <row r="1454" spans="1:33" x14ac:dyDescent="0.35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 cm="1">
        <f t="array" ref="AG1454">_xlfn.IFS(A1454&lt;30,"Below 30",A1454&lt;40,"30-39",A1454&lt;50,"40-49",TRUE,"50+")</f>
        <v>50+</v>
      </c>
    </row>
    <row r="1455" spans="1:33" x14ac:dyDescent="0.35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 cm="1">
        <f t="array" ref="AG1455">_xlfn.IFS(A1455&lt;30,"Below 30",A1455&lt;40,"30-39",A1455&lt;50,"40-49",TRUE,"50+")</f>
        <v>30-39</v>
      </c>
    </row>
    <row r="1456" spans="1:33" x14ac:dyDescent="0.35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 cm="1">
        <f t="array" ref="AG1456">_xlfn.IFS(A1456&lt;30,"Below 30",A1456&lt;40,"30-39",A1456&lt;50,"40-49",TRUE,"50+")</f>
        <v>40-49</v>
      </c>
    </row>
    <row r="1457" spans="1:33" x14ac:dyDescent="0.35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 cm="1">
        <f t="array" ref="AG1457">_xlfn.IFS(A1457&lt;30,"Below 30",A1457&lt;40,"30-39",A1457&lt;50,"40-49",TRUE,"50+")</f>
        <v>40-49</v>
      </c>
    </row>
    <row r="1458" spans="1:33" x14ac:dyDescent="0.35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 cm="1">
        <f t="array" ref="AG1458">_xlfn.IFS(A1458&lt;30,"Below 30",A1458&lt;40,"30-39",A1458&lt;50,"40-49",TRUE,"50+")</f>
        <v>30-39</v>
      </c>
    </row>
    <row r="1459" spans="1:33" x14ac:dyDescent="0.35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 cm="1">
        <f t="array" ref="AG1459">_xlfn.IFS(A1459&lt;30,"Below 30",A1459&lt;40,"30-39",A1459&lt;50,"40-49",TRUE,"50+")</f>
        <v>40-49</v>
      </c>
    </row>
    <row r="1460" spans="1:33" x14ac:dyDescent="0.35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 cm="1">
        <f t="array" ref="AG1460">_xlfn.IFS(A1460&lt;30,"Below 30",A1460&lt;40,"30-39",A1460&lt;50,"40-49",TRUE,"50+")</f>
        <v>30-39</v>
      </c>
    </row>
    <row r="1461" spans="1:33" x14ac:dyDescent="0.35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 cm="1">
        <f t="array" ref="AG1461">_xlfn.IFS(A1461&lt;30,"Below 30",A1461&lt;40,"30-39",A1461&lt;50,"40-49",TRUE,"50+")</f>
        <v>Below 30</v>
      </c>
    </row>
    <row r="1462" spans="1:33" x14ac:dyDescent="0.35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 cm="1">
        <f t="array" ref="AG1462">_xlfn.IFS(A1462&lt;30,"Below 30",A1462&lt;40,"30-39",A1462&lt;50,"40-49",TRUE,"50+")</f>
        <v>Below 30</v>
      </c>
    </row>
    <row r="1463" spans="1:33" x14ac:dyDescent="0.35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 cm="1">
        <f t="array" ref="AG1463">_xlfn.IFS(A1463&lt;30,"Below 30",A1463&lt;40,"30-39",A1463&lt;50,"40-49",TRUE,"50+")</f>
        <v>50+</v>
      </c>
    </row>
    <row r="1464" spans="1:33" x14ac:dyDescent="0.35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 cm="1">
        <f t="array" ref="AG1464">_xlfn.IFS(A1464&lt;30,"Below 30",A1464&lt;40,"30-39",A1464&lt;50,"40-49",TRUE,"50+")</f>
        <v>30-39</v>
      </c>
    </row>
    <row r="1465" spans="1:33" x14ac:dyDescent="0.35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 cm="1">
        <f t="array" ref="AG1465">_xlfn.IFS(A1465&lt;30,"Below 30",A1465&lt;40,"30-39",A1465&lt;50,"40-49",TRUE,"50+")</f>
        <v>30-39</v>
      </c>
    </row>
    <row r="1466" spans="1:33" x14ac:dyDescent="0.35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 cm="1">
        <f t="array" ref="AG1466">_xlfn.IFS(A1466&lt;30,"Below 30",A1466&lt;40,"30-39",A1466&lt;50,"40-49",TRUE,"50+")</f>
        <v>Below 30</v>
      </c>
    </row>
    <row r="1467" spans="1:33" x14ac:dyDescent="0.35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 cm="1">
        <f t="array" ref="AG1467">_xlfn.IFS(A1467&lt;30,"Below 30",A1467&lt;40,"30-39",A1467&lt;50,"40-49",TRUE,"50+")</f>
        <v>30-39</v>
      </c>
    </row>
    <row r="1468" spans="1:33" x14ac:dyDescent="0.35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 cm="1">
        <f t="array" ref="AG1468">_xlfn.IFS(A1468&lt;30,"Below 30",A1468&lt;40,"30-39",A1468&lt;50,"40-49",TRUE,"50+")</f>
        <v>30-39</v>
      </c>
    </row>
    <row r="1469" spans="1:33" x14ac:dyDescent="0.35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 cm="1">
        <f t="array" ref="AG1469">_xlfn.IFS(A1469&lt;30,"Below 30",A1469&lt;40,"30-39",A1469&lt;50,"40-49",TRUE,"50+")</f>
        <v>Below 30</v>
      </c>
    </row>
    <row r="1470" spans="1:33" x14ac:dyDescent="0.35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 cm="1">
        <f t="array" ref="AG1470">_xlfn.IFS(A1470&lt;30,"Below 30",A1470&lt;40,"30-39",A1470&lt;50,"40-49",TRUE,"50+")</f>
        <v>40-49</v>
      </c>
    </row>
    <row r="1471" spans="1:33" x14ac:dyDescent="0.35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 cm="1">
        <f t="array" ref="AG1471">_xlfn.IFS(A1471&lt;30,"Below 30",A1471&lt;40,"30-39",A1471&lt;50,"40-49",TRUE,"50+")</f>
        <v>30-39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79B5-50CF-4D83-AEF6-FA36A941B68B}">
  <dimension ref="A2:E14"/>
  <sheetViews>
    <sheetView workbookViewId="0">
      <selection activeCell="A18" sqref="A18"/>
    </sheetView>
  </sheetViews>
  <sheetFormatPr defaultRowHeight="14.5" x14ac:dyDescent="0.35"/>
  <cols>
    <col min="1" max="1" width="30.453125" bestFit="1" customWidth="1"/>
    <col min="2" max="2" width="10.08984375" bestFit="1" customWidth="1"/>
  </cols>
  <sheetData>
    <row r="2" spans="1:5" x14ac:dyDescent="0.35">
      <c r="A2" s="2" t="s">
        <v>66</v>
      </c>
      <c r="B2" s="2"/>
    </row>
    <row r="3" spans="1:5" x14ac:dyDescent="0.35">
      <c r="A3" t="s">
        <v>67</v>
      </c>
      <c r="B3" s="8">
        <f>AVERAGEIF(HRdata[Attrition],"yes",HRdata[MonthlyIncome])</f>
        <v>4787.0928270042195</v>
      </c>
      <c r="E3" s="1" t="s">
        <v>64</v>
      </c>
    </row>
    <row r="4" spans="1:5" x14ac:dyDescent="0.35">
      <c r="A4" t="s">
        <v>74</v>
      </c>
      <c r="B4" s="8">
        <f>AVERAGEIF(HRdata[Attrition],"No",HRdata[MonthlyIncome])</f>
        <v>6832.7396593673966</v>
      </c>
    </row>
    <row r="5" spans="1:5" x14ac:dyDescent="0.35">
      <c r="A5" t="s">
        <v>68</v>
      </c>
      <c r="B5" s="3">
        <f>AVERAGEIF(HRdata[Attrition],"Yes",HRdata[YearsAtCompany])</f>
        <v>5.1308016877637135</v>
      </c>
    </row>
    <row r="6" spans="1:5" x14ac:dyDescent="0.35">
      <c r="A6" t="s">
        <v>69</v>
      </c>
      <c r="B6" s="3">
        <f>AVERAGEIF(HRdata[Attrition],"NO",HRdata[YearsAtCompany])</f>
        <v>7.3690186536901869</v>
      </c>
    </row>
    <row r="7" spans="1:5" x14ac:dyDescent="0.35">
      <c r="B7" s="3"/>
    </row>
    <row r="8" spans="1:5" x14ac:dyDescent="0.35">
      <c r="A8" s="9" t="s">
        <v>65</v>
      </c>
      <c r="B8" s="9"/>
    </row>
    <row r="9" spans="1:5" x14ac:dyDescent="0.35">
      <c r="A9" s="9" t="s">
        <v>75</v>
      </c>
      <c r="B9" s="9"/>
    </row>
    <row r="10" spans="1:5" x14ac:dyDescent="0.35">
      <c r="A10" t="s">
        <v>59</v>
      </c>
      <c r="B10">
        <f>COUNTIF(HRdata[Attrition],"Yes")</f>
        <v>237</v>
      </c>
    </row>
    <row r="11" spans="1:5" x14ac:dyDescent="0.35">
      <c r="A11" t="s">
        <v>60</v>
      </c>
      <c r="B11">
        <f>COUNTIFS(HRdata[Attrition],"Yes",HRdata[Department],"Sales")</f>
        <v>92</v>
      </c>
    </row>
    <row r="12" spans="1:5" x14ac:dyDescent="0.35">
      <c r="A12" t="s">
        <v>61</v>
      </c>
      <c r="B12">
        <f>COUNTA(HRdata[Attrition])</f>
        <v>1470</v>
      </c>
    </row>
    <row r="13" spans="1:5" x14ac:dyDescent="0.35">
      <c r="A13" t="s">
        <v>62</v>
      </c>
      <c r="B13" s="7">
        <f>COUNTIF(HRdata[Attrition],"Yes")/COUNTA(HRdata[Attrition])*100</f>
        <v>16.122448979591837</v>
      </c>
    </row>
    <row r="14" spans="1:5" x14ac:dyDescent="0.35">
      <c r="A14" t="s">
        <v>63</v>
      </c>
      <c r="B14">
        <f>COUNTIFS(HRdata[Attrition],"yes",HRdata[OverTime],"yes")</f>
        <v>127</v>
      </c>
    </row>
  </sheetData>
  <conditionalFormatting sqref="B3:B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B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0604-0BE2-4E37-A51D-C04AEEED7371}">
  <dimension ref="A3:D8"/>
  <sheetViews>
    <sheetView workbookViewId="0">
      <selection activeCell="C5" sqref="C5"/>
    </sheetView>
  </sheetViews>
  <sheetFormatPr defaultRowHeight="14.5" x14ac:dyDescent="0.35"/>
  <cols>
    <col min="1" max="1" width="23.81640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 x14ac:dyDescent="0.35">
      <c r="A3" s="4" t="s">
        <v>73</v>
      </c>
      <c r="B3" s="4" t="s">
        <v>72</v>
      </c>
    </row>
    <row r="4" spans="1:4" x14ac:dyDescent="0.35">
      <c r="A4" s="4" t="s">
        <v>70</v>
      </c>
      <c r="B4" t="s">
        <v>39</v>
      </c>
      <c r="C4" t="s">
        <v>32</v>
      </c>
      <c r="D4" t="s">
        <v>71</v>
      </c>
    </row>
    <row r="5" spans="1:4" x14ac:dyDescent="0.35">
      <c r="A5" s="5" t="s">
        <v>57</v>
      </c>
      <c r="B5" s="6">
        <v>0.80952380952380953</v>
      </c>
      <c r="C5" s="6">
        <v>0.19047619047619047</v>
      </c>
      <c r="D5" s="6">
        <v>1</v>
      </c>
    </row>
    <row r="6" spans="1:4" x14ac:dyDescent="0.35">
      <c r="A6" s="5" t="s">
        <v>41</v>
      </c>
      <c r="B6" s="6">
        <v>0.86160249739854322</v>
      </c>
      <c r="C6" s="6">
        <v>0.13839750260145681</v>
      </c>
      <c r="D6" s="6">
        <v>1</v>
      </c>
    </row>
    <row r="7" spans="1:4" x14ac:dyDescent="0.35">
      <c r="A7" s="5" t="s">
        <v>34</v>
      </c>
      <c r="B7" s="6">
        <v>0.79372197309417036</v>
      </c>
      <c r="C7" s="6">
        <v>0.20627802690582961</v>
      </c>
      <c r="D7" s="6">
        <v>1</v>
      </c>
    </row>
    <row r="8" spans="1:4" x14ac:dyDescent="0.35">
      <c r="A8" s="5" t="s">
        <v>71</v>
      </c>
      <c r="B8" s="6">
        <v>0.83877551020408159</v>
      </c>
      <c r="C8" s="6">
        <v>0.16122448979591836</v>
      </c>
      <c r="D8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9D67-D150-4C56-B02D-DD977815205C}">
  <dimension ref="A1:D14"/>
  <sheetViews>
    <sheetView workbookViewId="0">
      <selection activeCell="C19" sqref="C19"/>
    </sheetView>
  </sheetViews>
  <sheetFormatPr defaultRowHeight="14.5" x14ac:dyDescent="0.35"/>
  <cols>
    <col min="1" max="1" width="23.81640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1" spans="1:4" x14ac:dyDescent="0.35">
      <c r="A1" s="4" t="s">
        <v>1</v>
      </c>
      <c r="B1" t="s">
        <v>32</v>
      </c>
    </row>
    <row r="3" spans="1:4" x14ac:dyDescent="0.35">
      <c r="A3" s="4" t="s">
        <v>73</v>
      </c>
      <c r="B3" s="4" t="s">
        <v>72</v>
      </c>
    </row>
    <row r="4" spans="1:4" x14ac:dyDescent="0.35">
      <c r="A4" s="4" t="s">
        <v>70</v>
      </c>
      <c r="B4" t="s">
        <v>39</v>
      </c>
      <c r="C4" t="s">
        <v>32</v>
      </c>
      <c r="D4" t="s">
        <v>71</v>
      </c>
    </row>
    <row r="5" spans="1:4" x14ac:dyDescent="0.35">
      <c r="A5" s="5" t="s">
        <v>50</v>
      </c>
      <c r="B5" s="6">
        <v>0.77777777777777779</v>
      </c>
      <c r="C5" s="6">
        <v>0.22222222222222221</v>
      </c>
      <c r="D5" s="6">
        <v>1</v>
      </c>
    </row>
    <row r="6" spans="1:4" x14ac:dyDescent="0.35">
      <c r="A6" s="5" t="s">
        <v>57</v>
      </c>
      <c r="B6" s="6">
        <v>0.58333333333333337</v>
      </c>
      <c r="C6" s="6">
        <v>0.41666666666666669</v>
      </c>
      <c r="D6" s="6">
        <v>1</v>
      </c>
    </row>
    <row r="7" spans="1:4" x14ac:dyDescent="0.35">
      <c r="A7" s="5" t="s">
        <v>46</v>
      </c>
      <c r="B7" s="6">
        <v>0.5</v>
      </c>
      <c r="C7" s="6">
        <v>0.5</v>
      </c>
      <c r="D7" s="6">
        <v>1</v>
      </c>
    </row>
    <row r="8" spans="1:4" x14ac:dyDescent="0.35">
      <c r="A8" s="5" t="s">
        <v>52</v>
      </c>
      <c r="B8" s="6">
        <v>0.2</v>
      </c>
      <c r="C8" s="6">
        <v>0.8</v>
      </c>
      <c r="D8" s="6">
        <v>1</v>
      </c>
    </row>
    <row r="9" spans="1:4" x14ac:dyDescent="0.35">
      <c r="A9" s="5" t="s">
        <v>49</v>
      </c>
      <c r="B9" s="6">
        <v>0.6</v>
      </c>
      <c r="C9" s="6">
        <v>0.4</v>
      </c>
      <c r="D9" s="6">
        <v>1</v>
      </c>
    </row>
    <row r="10" spans="1:4" x14ac:dyDescent="0.35">
      <c r="A10" s="5" t="s">
        <v>54</v>
      </c>
      <c r="B10" s="6">
        <v>0.5</v>
      </c>
      <c r="C10" s="6">
        <v>0.5</v>
      </c>
      <c r="D10" s="6">
        <v>1</v>
      </c>
    </row>
    <row r="11" spans="1:4" x14ac:dyDescent="0.35">
      <c r="A11" s="5" t="s">
        <v>43</v>
      </c>
      <c r="B11" s="6">
        <v>0.2978723404255319</v>
      </c>
      <c r="C11" s="6">
        <v>0.7021276595744681</v>
      </c>
      <c r="D11" s="6">
        <v>1</v>
      </c>
    </row>
    <row r="12" spans="1:4" x14ac:dyDescent="0.35">
      <c r="A12" s="5" t="s">
        <v>37</v>
      </c>
      <c r="B12" s="6">
        <v>0.45614035087719296</v>
      </c>
      <c r="C12" s="6">
        <v>0.54385964912280704</v>
      </c>
      <c r="D12" s="6">
        <v>1</v>
      </c>
    </row>
    <row r="13" spans="1:4" x14ac:dyDescent="0.35">
      <c r="A13" s="5" t="s">
        <v>53</v>
      </c>
      <c r="B13" s="6">
        <v>0.51515151515151514</v>
      </c>
      <c r="C13" s="6">
        <v>0.48484848484848486</v>
      </c>
      <c r="D13" s="6">
        <v>1</v>
      </c>
    </row>
    <row r="14" spans="1:4" x14ac:dyDescent="0.35">
      <c r="A14" s="5" t="s">
        <v>71</v>
      </c>
      <c r="B14" s="6">
        <v>0.46413502109704641</v>
      </c>
      <c r="C14" s="6">
        <v>0.53586497890295359</v>
      </c>
      <c r="D14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HRdata_attrition</vt:lpstr>
      <vt:lpstr>summary</vt:lpstr>
      <vt:lpstr>Pivotdepartment</vt:lpstr>
      <vt:lpstr>pivotjobrole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raja</dc:creator>
  <cp:lastModifiedBy>gayathri raja</cp:lastModifiedBy>
  <dcterms:created xsi:type="dcterms:W3CDTF">2026-04-27T09:20:11Z</dcterms:created>
  <dcterms:modified xsi:type="dcterms:W3CDTF">2026-04-28T10:25:20Z</dcterms:modified>
</cp:coreProperties>
</file>